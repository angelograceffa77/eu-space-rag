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esait-my.sharepoint.com/personal/paolo_ponzio_esa_int/Documents/Documents/ESA docs/PSS-A forms/issue 6/"/>
    </mc:Choice>
  </mc:AlternateContent>
  <xr:revisionPtr revIDLastSave="493" documentId="8_{87B9FA74-7E5E-4FB4-99D9-0ACCA169A7EF}" xr6:coauthVersionLast="47" xr6:coauthVersionMax="47" xr10:uidLastSave="{8185E000-3CC0-4614-9E12-540103113F2C}"/>
  <bookViews>
    <workbookView xWindow="-120" yWindow="-16320" windowWidth="29040" windowHeight="15720" firstSheet="1" activeTab="1" xr2:uid="{F162023B-AA4F-4B93-9815-4A78F7789FB1}"/>
  </bookViews>
  <sheets>
    <sheet name="Header Page" sheetId="21" state="hidden" r:id="rId1"/>
    <sheet name="PBF1" sheetId="2" r:id="rId2"/>
    <sheet name="PBF2" sheetId="3" r:id="rId3"/>
    <sheet name="PBF3" sheetId="19" r:id="rId4"/>
    <sheet name="ExA-C" sheetId="6" r:id="rId5"/>
    <sheet name="ExD" sheetId="9" r:id="rId6"/>
    <sheet name="ExE" sheetId="10" r:id="rId7"/>
    <sheet name="ExF" sheetId="12" r:id="rId8"/>
    <sheet name="ExG" sheetId="11" r:id="rId9"/>
  </sheets>
  <definedNames>
    <definedName name="Author">"Paolo Ponzio"</definedName>
    <definedName name="bmsAddress">" "</definedName>
    <definedName name="bmsPhoneFax">" "</definedName>
    <definedName name="bmsSitename">""</definedName>
    <definedName name="bmsSitename2">" "</definedName>
    <definedName name="Classification">"ESA UNCLASSIFIED - For ESA Official Use Only"</definedName>
    <definedName name="Classification_Caveat">" "</definedName>
    <definedName name="Comments">" "</definedName>
    <definedName name="Company">"ESA"</definedName>
    <definedName name="cover">ExF!$E$33:$E$37</definedName>
    <definedName name="Distribution">" "</definedName>
    <definedName name="Document_Type">"DRD - Document Requirements Definition"</definedName>
    <definedName name="Issue">"6"</definedName>
    <definedName name="Issue_Date">"15/03/2026"</definedName>
    <definedName name="Keywords">" "</definedName>
    <definedName name="mtype">'ExA-C'!$D$46:$D$49</definedName>
    <definedName name="Originating_Organisation">"ESA-CIC-IA"</definedName>
    <definedName name="_xlnm.Print_Area" localSheetId="0">'Header Page'!$A$1:$D$29</definedName>
    <definedName name="ptype">'PBF1'!$N$6:$N$13</definedName>
    <definedName name="ptypet">'PBF1'!$M$6:$M$13</definedName>
    <definedName name="Reference">"ESA-CIC-IAB-DRD-2026-6630-PP"</definedName>
    <definedName name="Revision">"0"</definedName>
    <definedName name="sctype">ExF!$D$33:$D$36</definedName>
    <definedName name="Status">"Issued"</definedName>
    <definedName name="Subject">"ESA STANDARD PRICE BREAKDOWN FORMS"</definedName>
    <definedName name="Title">"ESA STANDARD PRICE BREAKDOWN FORMS"</definedName>
    <definedName name="wactype">ExE!$B$44:$B$45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21" l="1"/>
  <c r="C16" i="21"/>
  <c r="C15" i="21"/>
  <c r="C14" i="21"/>
  <c r="C13" i="21"/>
  <c r="C12" i="21"/>
  <c r="C11" i="21"/>
  <c r="C10" i="21"/>
  <c r="C9" i="21"/>
  <c r="C8" i="21"/>
  <c r="C7" i="21"/>
  <c r="C6" i="21"/>
  <c r="B4" i="21"/>
  <c r="A1" i="21"/>
  <c r="F63" i="2"/>
  <c r="H20" i="2"/>
  <c r="I20" i="2" s="1"/>
  <c r="H21" i="2"/>
  <c r="I21" i="2"/>
  <c r="H22" i="2"/>
  <c r="I22" i="2"/>
  <c r="K36" i="9"/>
  <c r="I47" i="11"/>
  <c r="J47" i="11"/>
  <c r="M51" i="11" s="1"/>
  <c r="M44" i="11"/>
  <c r="M43" i="11"/>
  <c r="M42" i="11"/>
  <c r="M41" i="11"/>
  <c r="M40" i="11"/>
  <c r="M39" i="11"/>
  <c r="M35" i="11"/>
  <c r="M34" i="11"/>
  <c r="M33" i="11"/>
  <c r="M32" i="11"/>
  <c r="M31" i="11"/>
  <c r="M27" i="11"/>
  <c r="M26" i="11"/>
  <c r="M25" i="11"/>
  <c r="M24" i="11"/>
  <c r="M23" i="11"/>
  <c r="M19" i="11"/>
  <c r="M18" i="11"/>
  <c r="M17" i="11"/>
  <c r="M16" i="11"/>
  <c r="M15" i="11"/>
  <c r="H47" i="11"/>
  <c r="L44" i="11"/>
  <c r="I44" i="11"/>
  <c r="J44" i="11"/>
  <c r="H44" i="11"/>
  <c r="L43" i="11"/>
  <c r="I43" i="11"/>
  <c r="J43" i="11"/>
  <c r="H43" i="11"/>
  <c r="D6" i="11"/>
  <c r="D5" i="11"/>
  <c r="D10" i="11"/>
  <c r="M10" i="11"/>
  <c r="L6" i="11"/>
  <c r="M6" i="11"/>
  <c r="L7" i="11"/>
  <c r="M7" i="11"/>
  <c r="M5" i="11"/>
  <c r="L5" i="11"/>
  <c r="M2" i="11"/>
  <c r="J2" i="12"/>
  <c r="L18" i="6"/>
  <c r="I18" i="10"/>
  <c r="J27" i="10"/>
  <c r="J26" i="10"/>
  <c r="J29" i="10" s="1"/>
  <c r="J2" i="10"/>
  <c r="L2" i="9"/>
  <c r="M2" i="6"/>
  <c r="M32" i="6"/>
  <c r="L32" i="6"/>
  <c r="M23" i="6"/>
  <c r="L23" i="6"/>
  <c r="L22" i="6"/>
  <c r="L24" i="19"/>
  <c r="J13" i="12"/>
  <c r="D13" i="12"/>
  <c r="I11" i="12"/>
  <c r="J21" i="12" s="1"/>
  <c r="J10" i="12"/>
  <c r="I10" i="12"/>
  <c r="J11" i="12" s="1"/>
  <c r="D10" i="12"/>
  <c r="E10" i="12" s="1"/>
  <c r="D9" i="12"/>
  <c r="J7" i="12"/>
  <c r="I7" i="12"/>
  <c r="J6" i="12"/>
  <c r="I6" i="12"/>
  <c r="D6" i="12"/>
  <c r="J5" i="12"/>
  <c r="I5" i="12"/>
  <c r="D5" i="12"/>
  <c r="J13" i="10"/>
  <c r="D13" i="10"/>
  <c r="I11" i="10"/>
  <c r="J10" i="10"/>
  <c r="I10" i="10"/>
  <c r="J11" i="10" s="1"/>
  <c r="D10" i="10"/>
  <c r="E10" i="10" s="1"/>
  <c r="D9" i="10"/>
  <c r="J7" i="10"/>
  <c r="I7" i="10"/>
  <c r="J6" i="10"/>
  <c r="I6" i="10"/>
  <c r="D6" i="10"/>
  <c r="J5" i="10"/>
  <c r="I5" i="10"/>
  <c r="D5" i="10"/>
  <c r="L13" i="9"/>
  <c r="D13" i="9"/>
  <c r="K11" i="9"/>
  <c r="L26" i="9" s="1"/>
  <c r="L10" i="9"/>
  <c r="K10" i="9"/>
  <c r="L11" i="9" s="1"/>
  <c r="D10" i="9"/>
  <c r="E10" i="9" s="1"/>
  <c r="D9" i="9"/>
  <c r="L7" i="9"/>
  <c r="K7" i="9"/>
  <c r="L6" i="9"/>
  <c r="K6" i="9"/>
  <c r="D6" i="9"/>
  <c r="L5" i="9"/>
  <c r="K5" i="9"/>
  <c r="D5" i="9"/>
  <c r="M13" i="6"/>
  <c r="D13" i="6"/>
  <c r="L11" i="6"/>
  <c r="M39" i="6" s="1"/>
  <c r="M10" i="6"/>
  <c r="L10" i="6"/>
  <c r="M11" i="6" s="1"/>
  <c r="D10" i="6"/>
  <c r="E10" i="6" s="1"/>
  <c r="D9" i="6"/>
  <c r="M7" i="6"/>
  <c r="L7" i="6"/>
  <c r="M6" i="6"/>
  <c r="L6" i="6"/>
  <c r="D6" i="6"/>
  <c r="M5" i="6"/>
  <c r="L5" i="6"/>
  <c r="D5" i="6"/>
  <c r="M2" i="3"/>
  <c r="M2" i="19"/>
  <c r="M13" i="19"/>
  <c r="D13" i="19"/>
  <c r="L11" i="19"/>
  <c r="M10" i="19"/>
  <c r="L10" i="19"/>
  <c r="M11" i="19" s="1"/>
  <c r="D10" i="19"/>
  <c r="E10" i="19" s="1"/>
  <c r="D9" i="19"/>
  <c r="M7" i="19"/>
  <c r="L7" i="19"/>
  <c r="M6" i="19"/>
  <c r="L6" i="19"/>
  <c r="D6" i="19"/>
  <c r="M5" i="19"/>
  <c r="L5" i="19"/>
  <c r="D5" i="19"/>
  <c r="D13" i="3"/>
  <c r="M13" i="3"/>
  <c r="I11" i="2"/>
  <c r="L11" i="3"/>
  <c r="M10" i="3"/>
  <c r="L10" i="3"/>
  <c r="L6" i="3"/>
  <c r="M6" i="3"/>
  <c r="L7" i="3"/>
  <c r="M7" i="3"/>
  <c r="M5" i="3"/>
  <c r="L5" i="3"/>
  <c r="D10" i="3"/>
  <c r="E10" i="3" s="1"/>
  <c r="D9" i="3"/>
  <c r="D6" i="3"/>
  <c r="D5" i="3"/>
  <c r="E11" i="2"/>
  <c r="I63" i="2"/>
  <c r="I46" i="2"/>
  <c r="I36" i="2"/>
  <c r="I27" i="2"/>
  <c r="I36" i="10"/>
  <c r="I35" i="10"/>
  <c r="I34" i="10"/>
  <c r="I33" i="10"/>
  <c r="L35" i="11"/>
  <c r="J35" i="11"/>
  <c r="I35" i="11"/>
  <c r="H35" i="11"/>
  <c r="L27" i="11"/>
  <c r="J27" i="11"/>
  <c r="I27" i="11"/>
  <c r="H27" i="11"/>
  <c r="L19" i="11"/>
  <c r="J19" i="11"/>
  <c r="I19" i="11"/>
  <c r="H19" i="11"/>
  <c r="J28" i="10"/>
  <c r="M70" i="19"/>
  <c r="J35" i="10" l="1"/>
  <c r="J18" i="12"/>
  <c r="M28" i="6"/>
  <c r="J34" i="10"/>
  <c r="M30" i="6"/>
  <c r="M20" i="6"/>
  <c r="M21" i="6"/>
  <c r="K65" i="19"/>
  <c r="M65" i="19" s="1"/>
  <c r="M18" i="6"/>
  <c r="M36" i="6"/>
  <c r="M29" i="6"/>
  <c r="M37" i="6"/>
  <c r="M27" i="6"/>
  <c r="L18" i="9"/>
  <c r="L25" i="9"/>
  <c r="L24" i="9"/>
  <c r="L35" i="9"/>
  <c r="L22" i="9"/>
  <c r="L33" i="9"/>
  <c r="L20" i="9"/>
  <c r="L30" i="9"/>
  <c r="M19" i="6"/>
  <c r="M38" i="6"/>
  <c r="L28" i="9"/>
  <c r="L34" i="9"/>
  <c r="J36" i="10"/>
  <c r="L32" i="9"/>
  <c r="L29" i="9"/>
  <c r="L27" i="9"/>
  <c r="L23" i="9"/>
  <c r="L21" i="9"/>
  <c r="L31" i="9"/>
  <c r="L19" i="9"/>
  <c r="L51" i="11"/>
  <c r="J19" i="12"/>
  <c r="J20" i="12"/>
  <c r="I37" i="10"/>
  <c r="J33" i="10"/>
  <c r="J37" i="10" s="1"/>
  <c r="M24" i="19"/>
  <c r="K65" i="3"/>
  <c r="M65" i="3" s="1"/>
  <c r="E45" i="2"/>
  <c r="M22" i="6" l="1"/>
  <c r="J51" i="19"/>
  <c r="I51" i="19"/>
  <c r="H51" i="19"/>
  <c r="G51" i="19"/>
  <c r="F51" i="19"/>
  <c r="E51" i="19"/>
  <c r="D51" i="19"/>
  <c r="J32" i="19"/>
  <c r="I32" i="19"/>
  <c r="H32" i="19"/>
  <c r="G32" i="19"/>
  <c r="F32" i="19"/>
  <c r="E32" i="19"/>
  <c r="E53" i="19" s="1"/>
  <c r="E59" i="19" s="1"/>
  <c r="E60" i="19" s="1"/>
  <c r="E68" i="19" s="1"/>
  <c r="D32" i="19"/>
  <c r="D53" i="19" s="1"/>
  <c r="D59" i="19" s="1"/>
  <c r="D60" i="19" s="1"/>
  <c r="D68" i="19" s="1"/>
  <c r="J41" i="19"/>
  <c r="I41" i="19"/>
  <c r="H41" i="19"/>
  <c r="G41" i="19"/>
  <c r="F41" i="19"/>
  <c r="E41" i="19"/>
  <c r="D41" i="19"/>
  <c r="J51" i="3"/>
  <c r="I51" i="3"/>
  <c r="H51" i="3"/>
  <c r="G51" i="3"/>
  <c r="F51" i="3"/>
  <c r="E51" i="3"/>
  <c r="D51" i="3"/>
  <c r="J41" i="3"/>
  <c r="I41" i="3"/>
  <c r="H41" i="3"/>
  <c r="G41" i="3"/>
  <c r="F41" i="3"/>
  <c r="E41" i="3"/>
  <c r="D41" i="3"/>
  <c r="E32" i="3"/>
  <c r="F32" i="3"/>
  <c r="G32" i="3"/>
  <c r="H32" i="3"/>
  <c r="I32" i="3"/>
  <c r="J32" i="3"/>
  <c r="D32" i="3"/>
  <c r="D71" i="19"/>
  <c r="E71" i="19" s="1"/>
  <c r="F71" i="19" s="1"/>
  <c r="G71" i="19" s="1"/>
  <c r="H71" i="19" s="1"/>
  <c r="I71" i="19" s="1"/>
  <c r="J71" i="19" s="1"/>
  <c r="L57" i="19"/>
  <c r="M57" i="19" s="1"/>
  <c r="L56" i="19"/>
  <c r="M56" i="19" s="1"/>
  <c r="L55" i="19"/>
  <c r="M55" i="19" s="1"/>
  <c r="L48" i="19"/>
  <c r="M48" i="19" s="1"/>
  <c r="L47" i="19"/>
  <c r="M47" i="19" s="1"/>
  <c r="L46" i="19"/>
  <c r="M46" i="19" s="1"/>
  <c r="L45" i="19"/>
  <c r="M45" i="19" s="1"/>
  <c r="L38" i="19"/>
  <c r="M38" i="19" s="1"/>
  <c r="L37" i="19"/>
  <c r="M37" i="19" s="1"/>
  <c r="L36" i="19"/>
  <c r="M36" i="19" s="1"/>
  <c r="J29" i="19"/>
  <c r="I29" i="19"/>
  <c r="H29" i="19"/>
  <c r="G29" i="19"/>
  <c r="F29" i="19"/>
  <c r="E29" i="19"/>
  <c r="D29" i="19"/>
  <c r="L28" i="19"/>
  <c r="M28" i="19" s="1"/>
  <c r="L27" i="19"/>
  <c r="M27" i="19" s="1"/>
  <c r="L26" i="19"/>
  <c r="M26" i="19" s="1"/>
  <c r="L25" i="19"/>
  <c r="M25" i="19" s="1"/>
  <c r="L57" i="3"/>
  <c r="M57" i="3" s="1"/>
  <c r="L56" i="3"/>
  <c r="M56" i="3" s="1"/>
  <c r="L55" i="3"/>
  <c r="M55" i="3" s="1"/>
  <c r="L48" i="3"/>
  <c r="M48" i="3" s="1"/>
  <c r="L47" i="3"/>
  <c r="M47" i="3" s="1"/>
  <c r="L46" i="3"/>
  <c r="M46" i="3" s="1"/>
  <c r="L45" i="3"/>
  <c r="M45" i="3" s="1"/>
  <c r="L38" i="3"/>
  <c r="M38" i="3" s="1"/>
  <c r="L37" i="3"/>
  <c r="M37" i="3" s="1"/>
  <c r="L36" i="3"/>
  <c r="M36" i="3" s="1"/>
  <c r="L28" i="3"/>
  <c r="M28" i="3" s="1"/>
  <c r="L27" i="3"/>
  <c r="M27" i="3" s="1"/>
  <c r="L26" i="3"/>
  <c r="M26" i="3" s="1"/>
  <c r="L25" i="3"/>
  <c r="L24" i="3"/>
  <c r="M24" i="3" s="1"/>
  <c r="D72" i="19" l="1"/>
  <c r="E72" i="19" s="1"/>
  <c r="I53" i="19"/>
  <c r="I59" i="19" s="1"/>
  <c r="I60" i="19" s="1"/>
  <c r="I68" i="19" s="1"/>
  <c r="J53" i="19"/>
  <c r="J59" i="19" s="1"/>
  <c r="J60" i="19" s="1"/>
  <c r="J68" i="19" s="1"/>
  <c r="F53" i="19"/>
  <c r="F59" i="19" s="1"/>
  <c r="F60" i="19" s="1"/>
  <c r="F68" i="19" s="1"/>
  <c r="G53" i="19"/>
  <c r="G59" i="19" s="1"/>
  <c r="G60" i="19" s="1"/>
  <c r="G68" i="19" s="1"/>
  <c r="H53" i="19"/>
  <c r="H59" i="19" s="1"/>
  <c r="H60" i="19" s="1"/>
  <c r="H68" i="19" s="1"/>
  <c r="D53" i="3"/>
  <c r="J53" i="3"/>
  <c r="H53" i="3"/>
  <c r="G53" i="3"/>
  <c r="F53" i="3"/>
  <c r="E53" i="3"/>
  <c r="I53" i="3"/>
  <c r="L31" i="3"/>
  <c r="M25" i="3"/>
  <c r="L31" i="19"/>
  <c r="L32" i="19"/>
  <c r="M31" i="19"/>
  <c r="L39" i="19"/>
  <c r="L40" i="19" s="1"/>
  <c r="L49" i="19"/>
  <c r="L50" i="19" s="1"/>
  <c r="L51" i="19"/>
  <c r="I64" i="2"/>
  <c r="L41" i="19"/>
  <c r="L53" i="19" s="1"/>
  <c r="L59" i="19"/>
  <c r="L30" i="19"/>
  <c r="F26" i="2"/>
  <c r="L39" i="6"/>
  <c r="L38" i="6"/>
  <c r="L37" i="6"/>
  <c r="L36" i="6"/>
  <c r="L30" i="6"/>
  <c r="L29" i="6"/>
  <c r="L28" i="6"/>
  <c r="L27" i="6"/>
  <c r="L19" i="6"/>
  <c r="L20" i="6"/>
  <c r="L21" i="6"/>
  <c r="I22" i="12"/>
  <c r="E53" i="2" s="1"/>
  <c r="H53" i="2" s="1"/>
  <c r="F72" i="19" l="1"/>
  <c r="G72" i="19" s="1"/>
  <c r="H72" i="19" s="1"/>
  <c r="I72" i="19" s="1"/>
  <c r="J72" i="19" s="1"/>
  <c r="K66" i="3"/>
  <c r="K66" i="19"/>
  <c r="F53" i="2"/>
  <c r="I53" i="2"/>
  <c r="M60" i="19"/>
  <c r="M39" i="19"/>
  <c r="M40" i="19" s="1"/>
  <c r="M41" i="19"/>
  <c r="M51" i="19"/>
  <c r="M49" i="19"/>
  <c r="M50" i="19" s="1"/>
  <c r="M32" i="19"/>
  <c r="M30" i="19"/>
  <c r="M11" i="3"/>
  <c r="K68" i="19" l="1"/>
  <c r="M66" i="19"/>
  <c r="M66" i="3"/>
  <c r="K68" i="3"/>
  <c r="M53" i="19"/>
  <c r="E29" i="3"/>
  <c r="F29" i="3"/>
  <c r="G29" i="3"/>
  <c r="H29" i="3"/>
  <c r="I29" i="3"/>
  <c r="J29" i="3"/>
  <c r="D29" i="3"/>
  <c r="E59" i="3"/>
  <c r="E60" i="3" s="1"/>
  <c r="E68" i="3" s="1"/>
  <c r="F59" i="3"/>
  <c r="F60" i="3" s="1"/>
  <c r="F68" i="3" s="1"/>
  <c r="G59" i="3"/>
  <c r="G60" i="3" s="1"/>
  <c r="G68" i="3" s="1"/>
  <c r="H59" i="3"/>
  <c r="H60" i="3" s="1"/>
  <c r="H68" i="3" s="1"/>
  <c r="I59" i="3"/>
  <c r="I60" i="3" s="1"/>
  <c r="I68" i="3" s="1"/>
  <c r="J59" i="3"/>
  <c r="J60" i="3" s="1"/>
  <c r="J68" i="3" s="1"/>
  <c r="D59" i="3"/>
  <c r="D60" i="3" s="1"/>
  <c r="D68" i="3" s="1"/>
  <c r="L59" i="3" l="1"/>
  <c r="M60" i="3"/>
  <c r="I19" i="10"/>
  <c r="J19" i="10" s="1"/>
  <c r="I20" i="10"/>
  <c r="J20" i="10" s="1"/>
  <c r="I21" i="10"/>
  <c r="J21" i="10" s="1"/>
  <c r="J18" i="10"/>
  <c r="G55" i="2"/>
  <c r="J22" i="10" l="1"/>
  <c r="J22" i="12"/>
  <c r="I59" i="2"/>
  <c r="I60" i="2"/>
  <c r="H52" i="2" l="1"/>
  <c r="I52" i="2" s="1"/>
  <c r="L49" i="3" l="1"/>
  <c r="L50" i="3" s="1"/>
  <c r="M31" i="3"/>
  <c r="L39" i="3" l="1"/>
  <c r="L40" i="3" s="1"/>
  <c r="M30" i="3"/>
  <c r="L30" i="3"/>
  <c r="L51" i="3"/>
  <c r="L32" i="3"/>
  <c r="M41" i="3"/>
  <c r="L41" i="3"/>
  <c r="K20" i="9"/>
  <c r="K21" i="9"/>
  <c r="K22" i="9"/>
  <c r="K23" i="9"/>
  <c r="K24" i="9"/>
  <c r="K25" i="9"/>
  <c r="K26" i="9"/>
  <c r="K27" i="9"/>
  <c r="K28" i="9"/>
  <c r="K29" i="9"/>
  <c r="K30" i="9"/>
  <c r="K31" i="9"/>
  <c r="K32" i="9"/>
  <c r="K33" i="9"/>
  <c r="K34" i="9"/>
  <c r="K19" i="9"/>
  <c r="K35" i="9"/>
  <c r="K18" i="9"/>
  <c r="M49" i="3" l="1"/>
  <c r="M50" i="3" s="1"/>
  <c r="M39" i="3"/>
  <c r="M40" i="3" s="1"/>
  <c r="L53" i="3"/>
  <c r="M32" i="3"/>
  <c r="M51" i="3"/>
  <c r="I22" i="10"/>
  <c r="H18" i="2" l="1"/>
  <c r="I18" i="2" s="1"/>
  <c r="M53" i="3"/>
  <c r="L36" i="9"/>
  <c r="G44" i="2" l="1"/>
  <c r="H44" i="2" s="1"/>
  <c r="I44" i="2" s="1"/>
  <c r="G42" i="2"/>
  <c r="H42" i="2" s="1"/>
  <c r="I42" i="2" s="1"/>
  <c r="G43" i="2"/>
  <c r="H43" i="2" s="1"/>
  <c r="I43" i="2" s="1"/>
  <c r="H34" i="2"/>
  <c r="I34" i="2" s="1"/>
  <c r="H33" i="2"/>
  <c r="I33" i="2" s="1"/>
  <c r="H32" i="2"/>
  <c r="I32" i="2" s="1"/>
  <c r="H19" i="2"/>
  <c r="I19" i="2" s="1"/>
  <c r="H23" i="2"/>
  <c r="I23" i="2" s="1"/>
  <c r="H24" i="2"/>
  <c r="I24" i="2" s="1"/>
  <c r="H25" i="2"/>
  <c r="I25" i="2" s="1"/>
  <c r="G41" i="2"/>
  <c r="H41" i="2" l="1"/>
  <c r="G45" i="2"/>
  <c r="I35" i="2"/>
  <c r="I37" i="2" s="1"/>
  <c r="H35" i="2"/>
  <c r="G36" i="2" s="1"/>
  <c r="I26" i="2"/>
  <c r="H26" i="2"/>
  <c r="G27" i="2" s="1"/>
  <c r="E26" i="2"/>
  <c r="D26" i="2" s="1"/>
  <c r="L31" i="6"/>
  <c r="M31" i="6"/>
  <c r="M40" i="6"/>
  <c r="I41" i="2" l="1"/>
  <c r="I45" i="2" s="1"/>
  <c r="I47" i="2" s="1"/>
  <c r="G26" i="2"/>
  <c r="H45" i="2"/>
  <c r="G46" i="2" s="1"/>
  <c r="H37" i="2"/>
  <c r="G35" i="2"/>
  <c r="L40" i="6"/>
  <c r="H47" i="2" l="1"/>
  <c r="I58" i="2" l="1"/>
  <c r="I57" i="2" s="1"/>
  <c r="M62" i="19" s="1"/>
  <c r="M62" i="3" l="1"/>
  <c r="M68" i="3" s="1"/>
  <c r="M68" i="19"/>
  <c r="I28" i="2"/>
  <c r="I49" i="2" s="1"/>
  <c r="H28" i="2"/>
  <c r="H49" i="2" s="1"/>
  <c r="E51" i="2" l="1"/>
  <c r="H51" i="2"/>
  <c r="I51" i="2" l="1"/>
  <c r="I55" i="2" s="1"/>
  <c r="I66" i="2" s="1"/>
  <c r="H5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Paolo Ponzio</author>
  </authors>
  <commentList>
    <comment ref="H5" authorId="0" shapeId="0" xr:uid="{F184B458-B602-44BD-B531-8C1F142BDDA1}">
      <text>
        <r>
          <rPr>
            <b/>
            <sz val="9"/>
            <color indexed="81"/>
            <rFont val="Tahoma"/>
            <family val="2"/>
          </rPr>
          <t>Entity name according to ESA Registration</t>
        </r>
        <r>
          <rPr>
            <sz val="9"/>
            <color indexed="81"/>
            <rFont val="Tahoma"/>
            <family val="2"/>
          </rPr>
          <t xml:space="preserve">
</t>
        </r>
      </text>
    </comment>
    <comment ref="I5" authorId="0" shapeId="0" xr:uid="{7308ECE4-EDCC-497A-9993-2E7396055115}">
      <text>
        <r>
          <rPr>
            <b/>
            <sz val="9"/>
            <color indexed="81"/>
            <rFont val="Tahoma"/>
            <family val="2"/>
          </rPr>
          <t>Nationality according to ESA Registration</t>
        </r>
        <r>
          <rPr>
            <sz val="9"/>
            <color indexed="81"/>
            <rFont val="Tahoma"/>
            <family val="2"/>
          </rPr>
          <t xml:space="preserve">
</t>
        </r>
      </text>
    </comment>
    <comment ref="H6" authorId="0" shapeId="0" xr:uid="{5EDF6765-774F-4E2E-8F0F-86B30402A355}">
      <text>
        <r>
          <rPr>
            <b/>
            <sz val="9"/>
            <color indexed="81"/>
            <rFont val="Tahoma"/>
            <family val="2"/>
          </rPr>
          <t>Legal Entity code according to ESA Registration</t>
        </r>
        <r>
          <rPr>
            <sz val="9"/>
            <color indexed="81"/>
            <rFont val="Tahoma"/>
            <family val="2"/>
          </rPr>
          <t xml:space="preserve">
</t>
        </r>
      </text>
    </comment>
    <comment ref="I6" authorId="0" shapeId="0" xr:uid="{1C0E7637-A907-4532-80DC-532A2AE587D7}">
      <text>
        <r>
          <rPr>
            <b/>
            <sz val="9"/>
            <color indexed="81"/>
            <rFont val="Tahoma"/>
            <family val="2"/>
          </rPr>
          <t>Business Unit code according to ESA Registration</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Paolo Ponzio</author>
  </authors>
  <commentList>
    <comment ref="B14" authorId="0" shapeId="0" xr:uid="{66942649-3B04-4397-A209-4261BB05DA6F}">
      <text>
        <r>
          <rPr>
            <b/>
            <sz val="9"/>
            <color indexed="81"/>
            <rFont val="Tahoma"/>
            <family val="2"/>
          </rPr>
          <t>Bundle reference</t>
        </r>
        <r>
          <rPr>
            <sz val="9"/>
            <color indexed="81"/>
            <rFont val="Tahoma"/>
            <family val="2"/>
          </rPr>
          <t xml:space="preserve">
(ECOS only)</t>
        </r>
      </text>
    </comment>
    <comment ref="B22" authorId="0" shapeId="0" xr:uid="{5A6130D0-592B-4175-880A-D20A8994E5AD}">
      <text>
        <r>
          <rPr>
            <b/>
            <sz val="9"/>
            <color indexed="81"/>
            <rFont val="Tahoma"/>
            <family val="2"/>
          </rPr>
          <t>Bundle reference</t>
        </r>
        <r>
          <rPr>
            <sz val="9"/>
            <color indexed="81"/>
            <rFont val="Tahoma"/>
            <family val="2"/>
          </rPr>
          <t xml:space="preserve">
(ECOS only)</t>
        </r>
      </text>
    </comment>
    <comment ref="B30" authorId="0" shapeId="0" xr:uid="{B3FEE54D-EC88-40E2-A86F-D74094629D3C}">
      <text>
        <r>
          <rPr>
            <b/>
            <sz val="9"/>
            <color indexed="81"/>
            <rFont val="Tahoma"/>
            <family val="2"/>
          </rPr>
          <t>Bundle reference</t>
        </r>
        <r>
          <rPr>
            <sz val="9"/>
            <color indexed="81"/>
            <rFont val="Tahoma"/>
            <family val="2"/>
          </rPr>
          <t xml:space="preserve">
(ECOS only)</t>
        </r>
      </text>
    </comment>
    <comment ref="B38" authorId="0" shapeId="0" xr:uid="{DF65190F-F08E-45B2-84CF-128EF0340550}">
      <text>
        <r>
          <rPr>
            <b/>
            <sz val="9"/>
            <color indexed="81"/>
            <rFont val="Tahoma"/>
            <family val="2"/>
          </rPr>
          <t>Bundle reference</t>
        </r>
        <r>
          <rPr>
            <sz val="9"/>
            <color indexed="81"/>
            <rFont val="Tahoma"/>
            <family val="2"/>
          </rPr>
          <t xml:space="preserve">
(ECOS only)</t>
        </r>
      </text>
    </comment>
  </commentList>
</comments>
</file>

<file path=xl/sharedStrings.xml><?xml version="1.0" encoding="utf-8"?>
<sst xmlns="http://schemas.openxmlformats.org/spreadsheetml/2006/main" count="544" uniqueCount="270">
  <si>
    <t>Project/Contract title</t>
  </si>
  <si>
    <t>(date)</t>
  </si>
  <si>
    <t>ESA Entity Code</t>
  </si>
  <si>
    <t>Type of Price</t>
  </si>
  <si>
    <t>National Currency (NC)</t>
  </si>
  <si>
    <t>Exchange rate (1 EUR = )</t>
  </si>
  <si>
    <t>Contractual Phase</t>
  </si>
  <si>
    <t>name</t>
  </si>
  <si>
    <t>country</t>
  </si>
  <si>
    <t>BU</t>
  </si>
  <si>
    <t>LE</t>
  </si>
  <si>
    <t>Reported scope of work:</t>
  </si>
  <si>
    <t>1. LABOUR</t>
  </si>
  <si>
    <t>Code</t>
  </si>
  <si>
    <t>Title</t>
  </si>
  <si>
    <t>e</t>
  </si>
  <si>
    <t>2. INTERNAL SPECIAL FACILITIES</t>
  </si>
  <si>
    <t>Unit type</t>
  </si>
  <si>
    <t>TOTAL INTERNAL SPECIAL FACILITIES</t>
  </si>
  <si>
    <t>3. OTHER DIRECT COSTS</t>
  </si>
  <si>
    <t>Hourly rate (NC/hour)</t>
  </si>
  <si>
    <t>Unit rate (NC/unit)</t>
  </si>
  <si>
    <t>OH%</t>
  </si>
  <si>
    <t>OH (NC)</t>
  </si>
  <si>
    <t>TOTAL OTHER DIRECT COSTS</t>
  </si>
  <si>
    <t>TOTAL COMPANY COSTS</t>
  </si>
  <si>
    <t>TOTAL COMPANY CONTRIBUTIONS</t>
  </si>
  <si>
    <t>TOTAL COMPANY PRICE</t>
  </si>
  <si>
    <t>Price (NC)</t>
  </si>
  <si>
    <t>Price (EUR)</t>
  </si>
  <si>
    <t>Name</t>
  </si>
  <si>
    <t>Country</t>
  </si>
  <si>
    <t>ESA ITT/RFQ Ref. No.</t>
  </si>
  <si>
    <t>ESA Entity Codes</t>
  </si>
  <si>
    <t>3_A</t>
  </si>
  <si>
    <t>3_B</t>
  </si>
  <si>
    <t>3_C</t>
  </si>
  <si>
    <t>3_D</t>
  </si>
  <si>
    <t>D. TRAVEL AND SUBSISTENCE</t>
  </si>
  <si>
    <t>WP</t>
  </si>
  <si>
    <t>Description</t>
  </si>
  <si>
    <t>Cost (PC)</t>
  </si>
  <si>
    <t>Quantity</t>
  </si>
  <si>
    <t>A</t>
  </si>
  <si>
    <t>B</t>
  </si>
  <si>
    <t>TOTAL MATERIALS AND PARTS</t>
  </si>
  <si>
    <t>C</t>
  </si>
  <si>
    <t>D</t>
  </si>
  <si>
    <t>TOTAL EXTERNAL SERVICES</t>
  </si>
  <si>
    <t>TOTAL TRAVEL AND SUBSISTENCE</t>
  </si>
  <si>
    <t>Purpose</t>
  </si>
  <si>
    <t>Departure</t>
  </si>
  <si>
    <t>Destination</t>
  </si>
  <si>
    <t>Nr. of Trips</t>
  </si>
  <si>
    <t>Avg. People per Trip</t>
  </si>
  <si>
    <t>Avg. Days per Trip</t>
  </si>
  <si>
    <t>Subsistence Cost (NC) p.p./day</t>
  </si>
  <si>
    <t>Travel Cost (NC) p.p.</t>
  </si>
  <si>
    <t>Number of Units</t>
  </si>
  <si>
    <t>SUBCONTRACTORS MANAGEMENT RESERVE</t>
  </si>
  <si>
    <t>BASELINE MANAGEMENT RESERVE</t>
  </si>
  <si>
    <t>PRICE BREAKDOWN FORM</t>
  </si>
  <si>
    <t>WP number</t>
  </si>
  <si>
    <t>WP title</t>
  </si>
  <si>
    <t>Start date</t>
  </si>
  <si>
    <t>End date</t>
  </si>
  <si>
    <t>EUR</t>
  </si>
  <si>
    <t>Reference</t>
  </si>
  <si>
    <t>Materials and Parts</t>
  </si>
  <si>
    <t>External Services</t>
  </si>
  <si>
    <t>Miscellaneous</t>
  </si>
  <si>
    <t>Travel and Subsistence</t>
  </si>
  <si>
    <t>Detail</t>
  </si>
  <si>
    <t>Exhibit A</t>
  </si>
  <si>
    <t>Exhibit B</t>
  </si>
  <si>
    <t>Exhibit C</t>
  </si>
  <si>
    <t>Exhibit D</t>
  </si>
  <si>
    <t>Exhibit E</t>
  </si>
  <si>
    <t>Cost Without Additional Charge</t>
  </si>
  <si>
    <t>Company Contributions</t>
  </si>
  <si>
    <t>Exhibit G</t>
  </si>
  <si>
    <t>Exhibit F</t>
  </si>
  <si>
    <t>Raw materials</t>
  </si>
  <si>
    <t>Long Lead (Y/N)</t>
  </si>
  <si>
    <t>of which, Long Lead Items :</t>
  </si>
  <si>
    <t>Company's Travel Policy reference* :</t>
  </si>
  <si>
    <t>TOTAL SUBCONTRACTORS MANAGEMENT RESERVE</t>
  </si>
  <si>
    <t>Profit Fee</t>
  </si>
  <si>
    <t>FFA</t>
  </si>
  <si>
    <t>Firm and Fixed Price</t>
  </si>
  <si>
    <t>FFP</t>
  </si>
  <si>
    <t>Fixed Price with price variation</t>
  </si>
  <si>
    <t>FPV</t>
  </si>
  <si>
    <t>Fixed Unit Price</t>
  </si>
  <si>
    <t>FUP</t>
  </si>
  <si>
    <t>CP</t>
  </si>
  <si>
    <t>Cost-reimbursement plus fixed fee</t>
  </si>
  <si>
    <t>Cost-reimbursement plus incentive fee</t>
  </si>
  <si>
    <t>Cost-reimbursement time and material</t>
  </si>
  <si>
    <t>CRFF</t>
  </si>
  <si>
    <t>CRIF</t>
  </si>
  <si>
    <t>CRTM</t>
  </si>
  <si>
    <t>Ceiling Price to be converted to fixed price</t>
  </si>
  <si>
    <t>Mixed (in case of roll-up of WPs with different price types)</t>
  </si>
  <si>
    <t>Mixed</t>
  </si>
  <si>
    <t>Price Type</t>
  </si>
  <si>
    <t>Amount (NC)</t>
  </si>
  <si>
    <t>Amount (EUR)</t>
  </si>
  <si>
    <t>``</t>
  </si>
  <si>
    <t>Purchasing Currency (PC)</t>
  </si>
  <si>
    <t>TOTAL COMPANY PRICE in NC</t>
  </si>
  <si>
    <t>TOTAL COMPANY PRICE in EUR</t>
  </si>
  <si>
    <t>CO-PRIMES</t>
  </si>
  <si>
    <t>CORE TEAM SUBCONTRACTORS</t>
  </si>
  <si>
    <t>OTHER SUBCONTRACTORS</t>
  </si>
  <si>
    <t>SUBCONTRACTORS MANAGEMENT RESERVE in EUR</t>
  </si>
  <si>
    <t>BASELINE MANAGEMENT RESERVE in EUR</t>
  </si>
  <si>
    <t>Cumulative Milestone Payments in EUR</t>
  </si>
  <si>
    <t>Milestone Payments in EUR (incl. Advance)</t>
  </si>
  <si>
    <t>Labour</t>
  </si>
  <si>
    <t>ISF</t>
  </si>
  <si>
    <t>CWAC</t>
  </si>
  <si>
    <t>MANAGEMENT RESERVE</t>
  </si>
  <si>
    <t>Entity</t>
  </si>
  <si>
    <t>Management Reserve</t>
  </si>
  <si>
    <t>MR</t>
  </si>
  <si>
    <t>Proposal Ref. No. / Date</t>
  </si>
  <si>
    <t>WBS</t>
  </si>
  <si>
    <t>9_B</t>
  </si>
  <si>
    <t>9_S</t>
  </si>
  <si>
    <t>Entity name</t>
  </si>
  <si>
    <t>Cumulative Expenditures in EUR</t>
  </si>
  <si>
    <t>Selection Type (C / DN)</t>
  </si>
  <si>
    <t>Forecast Geo-return Country</t>
  </si>
  <si>
    <t>SELF-FUNDING</t>
  </si>
  <si>
    <t>Contribution Type</t>
  </si>
  <si>
    <t>COMPANY CONTRIBUTIONS</t>
  </si>
  <si>
    <t>COST WITHOUT ADDITIONAL CHARGES</t>
  </si>
  <si>
    <t>TRAVEL PLAN</t>
  </si>
  <si>
    <t>OTHER DIRECT COSTS</t>
  </si>
  <si>
    <t xml:space="preserve">TOTAL PRICE FOR ESA in EUR </t>
  </si>
  <si>
    <t>9. MANAGEMENT RESERVE</t>
  </si>
  <si>
    <t xml:space="preserve">      TOTAL SUBCONTRACTORS PRICE</t>
  </si>
  <si>
    <t>3-A. MATERIALS AND PARTS</t>
  </si>
  <si>
    <t>3-B. EXTERNAL SERVICES</t>
  </si>
  <si>
    <t>3-C. MISCELLANEOUS DIRECT COSTS</t>
  </si>
  <si>
    <t>TOTAL MISCELLANEOUS DIRECT COSTS</t>
  </si>
  <si>
    <t>Miscellaneous Direct Costs</t>
  </si>
  <si>
    <t>Major sub-assemblies</t>
  </si>
  <si>
    <t>of which, Same Industrial Group as bidding Entity :</t>
  </si>
  <si>
    <t>Same Industrial Group as bidding Entity (Y/N)</t>
  </si>
  <si>
    <t>* The Company Travel policy shall be used for budgeting the travel and subsistence costs.  In absence of an established Company policy on travel, costs are expected to reflect the most economic mean of transport and cost reimbursement of accomodation and meals to a maximum equivalent to the ESA ceilings (ref. ESA/REG/006)</t>
  </si>
  <si>
    <t>Provision for Labour Cost Escalation</t>
  </si>
  <si>
    <t xml:space="preserve">Fixed element (min 10%): </t>
  </si>
  <si>
    <t xml:space="preserve">Total Escalation (%): </t>
  </si>
  <si>
    <t>TOTAL LABOUR COST</t>
  </si>
  <si>
    <t>Provision for ISF Cost Escalation</t>
  </si>
  <si>
    <t>ESC-1</t>
  </si>
  <si>
    <t>ESC-2</t>
  </si>
  <si>
    <t>Provision for ODC Cost Escalation</t>
  </si>
  <si>
    <t>ESC-3</t>
  </si>
  <si>
    <t>7   COMPANY CONTRIBUTIONS</t>
  </si>
  <si>
    <t>TOTAL SUBCONTRACTORS PRICE</t>
  </si>
  <si>
    <t>CORE TEAM SUBCONTRACTORS PRICE</t>
  </si>
  <si>
    <t>TOTAL CORE TEAM SUBCONTRACTORS PRICE</t>
  </si>
  <si>
    <t>CO-PRIMES PRICE</t>
  </si>
  <si>
    <t>TOTAL CO-PRIMES PRICE</t>
  </si>
  <si>
    <t>Cost Element covered</t>
  </si>
  <si>
    <t>ODC</t>
  </si>
  <si>
    <t>TOTAL INTERNAL SPECIAL FACILITIES COST</t>
  </si>
  <si>
    <t>Total Labour Cost at EC</t>
  </si>
  <si>
    <t>Total Labour hours</t>
  </si>
  <si>
    <t>Provision for Labour rates escalation</t>
  </si>
  <si>
    <t>Provision for ODC escalation</t>
  </si>
  <si>
    <t>Provision for ISF escalation</t>
  </si>
  <si>
    <t>Total ISF Cost at EC</t>
  </si>
  <si>
    <t>Total ODC Cost at EC</t>
  </si>
  <si>
    <t>Supplier in ESA MS (Y/N)</t>
  </si>
  <si>
    <t>Materials Standard Type</t>
  </si>
  <si>
    <t>Parts and Products</t>
  </si>
  <si>
    <t>Hi-Rel / EEE Parts</t>
  </si>
  <si>
    <t>Undefined</t>
  </si>
  <si>
    <t>Description *</t>
  </si>
  <si>
    <t xml:space="preserve">** Company contributions are expected to cover incurred and auditable cost chargeable to the project. </t>
  </si>
  <si>
    <t>* The 'Description'  is mandatory in case of 'IN-KIND' contribution type or 'Undefined' cost element.</t>
  </si>
  <si>
    <t>SUBCONTRACTORS PRICE SUMMARY in EUR</t>
  </si>
  <si>
    <t xml:space="preserve">Period </t>
  </si>
  <si>
    <t xml:space="preserve">  (calendar months/quarters/years)</t>
  </si>
  <si>
    <t xml:space="preserve">Total (NC)  </t>
  </si>
  <si>
    <t xml:space="preserve">Total (EUR)  </t>
  </si>
  <si>
    <t xml:space="preserve">Cost (NC)  </t>
  </si>
  <si>
    <t xml:space="preserve">Cost (EUR)  </t>
  </si>
  <si>
    <t>Person-years</t>
  </si>
  <si>
    <t>Effort (Hours)</t>
  </si>
  <si>
    <t>LABOUR Total/Average</t>
  </si>
  <si>
    <t>Internal Special Facilities Total</t>
  </si>
  <si>
    <t>Other Direct Costs Total</t>
  </si>
  <si>
    <t>TOTAL CONTRACT PRICE FOR ESA</t>
  </si>
  <si>
    <t>*** IN-KIND contribution consists in use of non-financial assets or resources offered free-of-charge for the execution of the task. Examples include: voluntary labour (i.e. not remunerated by the company), donated equipment, services or goods provided by third parties free-of-charge, use of company assets. None of these shall be included in the rates and overheads. Additional conditions may apply.</t>
  </si>
  <si>
    <t>IN-KIND TYPE A</t>
  </si>
  <si>
    <t>IN-KIND TYPE B</t>
  </si>
  <si>
    <t>THIRD PARTY FUNDING</t>
  </si>
  <si>
    <t>Productive Hours</t>
  </si>
  <si>
    <t>TOTAL CWAC</t>
  </si>
  <si>
    <t>CWAC Type</t>
  </si>
  <si>
    <t>6. Cost Without Additional Charges (CWAC)</t>
  </si>
  <si>
    <t>Pass-Through</t>
  </si>
  <si>
    <t>Fee</t>
  </si>
  <si>
    <t>PBF
Exhibits</t>
  </si>
  <si>
    <t>[MMM-YY]</t>
  </si>
  <si>
    <t>CONTRACT COST ELEMENTS [ PBF-1 (A2) ]</t>
  </si>
  <si>
    <t>WORK PACKAGES PRICE BREAKDOWN PER COMPANY [ PBF-2 (A8) ]</t>
  </si>
  <si>
    <t>Global Adjustment (EUR)</t>
  </si>
  <si>
    <t>Price for ESA (EUR)</t>
  </si>
  <si>
    <t>Management Reserve (EUR)</t>
  </si>
  <si>
    <t>Signature</t>
  </si>
  <si>
    <t>PRICE BREAKDOWN BY TIME [ PBF-3 (A10) ]</t>
  </si>
  <si>
    <t>Proposal Element</t>
  </si>
  <si>
    <t>Breakdown per Price Type in EUR</t>
  </si>
  <si>
    <t>…</t>
  </si>
  <si>
    <t>CFI</t>
  </si>
  <si>
    <t>Economic Conditions (EC)</t>
  </si>
  <si>
    <t>Subcontractor Management Reserve (EUR and %)</t>
  </si>
  <si>
    <t>Purchase Amount (NC)</t>
  </si>
  <si>
    <t>Purchase Amount (PC)</t>
  </si>
  <si>
    <t>Purchase Amount (EUR)</t>
  </si>
  <si>
    <t xml:space="preserve">Cost (NC) : </t>
  </si>
  <si>
    <t>Travel Cost (NC)</t>
  </si>
  <si>
    <t>Travel Cost (EUR)</t>
  </si>
  <si>
    <t xml:space="preserve">% of TOTAL COMPANY COSTS : </t>
  </si>
  <si>
    <t>TOTAL BASELINE MANAGEMENT RESERVE</t>
  </si>
  <si>
    <t>9_B. BASELINE MANAGEMENT RESERVE</t>
  </si>
  <si>
    <t>month</t>
  </si>
  <si>
    <t>Schedule</t>
  </si>
  <si>
    <t>Add columns as necessary to cover the full schedule of activities in slices of the chosen period.</t>
  </si>
  <si>
    <t>Add columns as necessary to represent all Work Packages (WP) presented in the Work Braekdown Structure (WBS), excluding subcontractors.</t>
  </si>
  <si>
    <t>MANAGEMENT RESERVE in EUR</t>
  </si>
  <si>
    <t>TOTAL SUBCONTRACTORS PRICE in EUR</t>
  </si>
  <si>
    <t>Add lines as necessary</t>
  </si>
  <si>
    <t xml:space="preserve">  Pass-through costs are incurred by the contractor exclusively for the execution of the contract, for which the is entitled to charge (pass-through) to the buyer as part of the total price. No element of overhead, administrative expense, or profit is added to the bare cost incurred.</t>
  </si>
  <si>
    <t xml:space="preserve">  Fees or special charges are specific amounts due or payable by the contractor to a third party for acquiring certain rights required exclusively for the execution of the contract, for which the is entitled to charge (pass-through) to the buyer as part of the total price. No element of overhead, administrative expense, or profit is added to the bare payable.</t>
  </si>
  <si>
    <t xml:space="preserve">  Customer Furnished Items, including materials, parts, (semi-)finished products, services, licenses etc.</t>
  </si>
  <si>
    <t xml:space="preserve">  Management Reserve, budgetary amount included in the contract price but to be releases according to specific contract conditions.</t>
  </si>
  <si>
    <t>Exchange rate (1 NC = x PC )</t>
  </si>
  <si>
    <t>not included in price</t>
  </si>
  <si>
    <r>
      <t xml:space="preserve">Cost Without Additional Charges (CWAC) - CFI   </t>
    </r>
    <r>
      <rPr>
        <b/>
        <i/>
        <sz val="11"/>
        <rFont val="Calibri"/>
        <family val="2"/>
        <scheme val="minor"/>
      </rPr>
      <t>(for information only)</t>
    </r>
  </si>
  <si>
    <t>Value (EUR)</t>
  </si>
  <si>
    <t>Deduction from Total Price for ESA -&gt;</t>
  </si>
  <si>
    <t>TOTAL OTHER SUBCONTRACTORS PRICE</t>
  </si>
  <si>
    <t>OTHER SUBCONTRACTORS PRICE (PRE-SELECTED)</t>
  </si>
  <si>
    <t>OTHER SUBCONTRACTORS PRICE (TO-BE-SELECTED)</t>
  </si>
  <si>
    <t>TOTAL OTHER SUBCONTRACTORS (PRE-SELECTED) PRICE</t>
  </si>
  <si>
    <t>TOTAL OTHER SUBCONTRACTORS (TO-BE-SELECTED) PRICE</t>
  </si>
  <si>
    <t>**  Global Adjustment: where applicable, price adjustment made by the upper tier contractor on the Price presented by the subcontractor.</t>
  </si>
  <si>
    <t>* Subcontractors prices are expected to be supported by dedicated set of PBF.</t>
  </si>
  <si>
    <t>Add lines as necessary for Labour and ISF categories.</t>
  </si>
  <si>
    <t>Attribute</t>
  </si>
  <si>
    <t>Value</t>
  </si>
  <si>
    <t xml:space="preserve">Reference </t>
  </si>
  <si>
    <t>Date of issue</t>
  </si>
  <si>
    <t>Issue</t>
  </si>
  <si>
    <t>Revision</t>
  </si>
  <si>
    <t>Author</t>
  </si>
  <si>
    <t>Originating Organisation</t>
  </si>
  <si>
    <t>Distribution</t>
  </si>
  <si>
    <t>Document type</t>
  </si>
  <si>
    <t>Status</t>
  </si>
  <si>
    <t>Site</t>
  </si>
  <si>
    <t>Keywords</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</si>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</sst>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0.00\ "/>
    <numFmt numFmtId="165" formatCode="#,##0_ ;\-#,##0\ "/>
    <numFmt numFmtId="166" formatCode="#,##0.0_ ;\-#,##0.0\ "/>
    <numFmt numFmtId="167" formatCode="0.0%"/>
    <numFmt numFmtId="168" formatCode="0.0000"/>
    <numFmt numFmtId="169" formatCode="0_ ;\-0\ "/>
  </numFmts>
  <fonts count="26" x14ac:knownFonts="1">
    <font>
      <sz val="11"/>
      <color theme="1"/>
      <name val="Calibri"/>
      <family val="2"/>
      <scheme val="minor"/>
    </font>
    <font>
      <b/>
      <sz val="11"/>
      <color theme="1"/>
      <name val="Calibri"/>
      <family val="2"/>
      <scheme val="minor"/>
    </font>
    <font>
      <sz val="26"/>
      <color theme="1"/>
      <name val="ESAprogramme"/>
    </font>
    <font>
      <sz val="9"/>
      <color theme="1"/>
      <name val="Calibri"/>
      <family val="2"/>
      <scheme val="minor"/>
    </font>
    <font>
      <b/>
      <i/>
      <sz val="11"/>
      <color theme="1"/>
      <name val="Calibri"/>
      <family val="2"/>
      <scheme val="minor"/>
    </font>
    <font>
      <sz val="9"/>
      <color indexed="81"/>
      <name val="Tahoma"/>
      <family val="2"/>
    </font>
    <font>
      <b/>
      <sz val="9"/>
      <color indexed="81"/>
      <name val="Tahoma"/>
      <family val="2"/>
    </font>
    <font>
      <b/>
      <sz val="11"/>
      <color theme="3"/>
      <name val="Calibri"/>
      <family val="2"/>
      <scheme val="minor"/>
    </font>
    <font>
      <sz val="26"/>
      <color theme="3"/>
      <name val="ESAprogramme"/>
    </font>
    <font>
      <sz val="9"/>
      <color rgb="FFFF0000"/>
      <name val="Calibri"/>
      <family val="2"/>
      <scheme val="minor"/>
    </font>
    <font>
      <sz val="11"/>
      <name val="Calibri"/>
      <family val="2"/>
      <scheme val="minor"/>
    </font>
    <font>
      <sz val="11"/>
      <color theme="6"/>
      <name val="Calibri"/>
      <family val="2"/>
      <scheme val="minor"/>
    </font>
    <font>
      <b/>
      <sz val="11"/>
      <color theme="6"/>
      <name val="Calibri"/>
      <family val="2"/>
      <scheme val="minor"/>
    </font>
    <font>
      <sz val="9"/>
      <color theme="6"/>
      <name val="Calibri"/>
      <family val="2"/>
      <scheme val="minor"/>
    </font>
    <font>
      <b/>
      <sz val="8"/>
      <color theme="1"/>
      <name val="Calibri"/>
      <family val="2"/>
      <scheme val="minor"/>
    </font>
    <font>
      <b/>
      <sz val="11"/>
      <name val="Calibri"/>
      <family val="2"/>
      <scheme val="minor"/>
    </font>
    <font>
      <sz val="9"/>
      <name val="Calibri"/>
      <family val="2"/>
      <scheme val="minor"/>
    </font>
    <font>
      <b/>
      <i/>
      <sz val="11"/>
      <name val="Calibri"/>
      <family val="2"/>
      <scheme val="minor"/>
    </font>
    <font>
      <sz val="10"/>
      <name val="Calibri"/>
      <family val="2"/>
      <scheme val="minor"/>
    </font>
    <font>
      <sz val="12"/>
      <color rgb="FF000000"/>
      <name val="NotesEsa"/>
      <family val="3"/>
    </font>
    <font>
      <sz val="11"/>
      <color rgb="FF000000"/>
      <name val="Georgia"/>
      <family val="2"/>
    </font>
    <font>
      <sz val="11"/>
      <color rgb="FF000000"/>
      <name val="Calibri Light"/>
      <family val="1"/>
      <scheme val="major"/>
    </font>
    <font>
      <b/>
      <sz val="15"/>
      <color rgb="FF747678"/>
      <name val="Georgia"/>
      <family val="2"/>
    </font>
    <font>
      <b/>
      <sz val="15"/>
      <color rgb="FF747678"/>
      <name val="Calibri Light"/>
      <family val="1"/>
      <scheme val="major"/>
    </font>
    <font>
      <b/>
      <sz val="11"/>
      <color theme="0"/>
      <name val="Calibri Light"/>
      <family val="1"/>
      <scheme val="major"/>
    </font>
    <font>
      <sz val="11"/>
      <color theme="1"/>
      <name val="Georgia"/>
      <family val="2"/>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CC"/>
      </patternFill>
    </fill>
    <fill>
      <patternFill patternType="solid">
        <fgColor theme="5"/>
        <bgColor theme="5"/>
      </patternFill>
    </fill>
    <fill>
      <patternFill patternType="solid">
        <fgColor theme="5" tint="0.79998168889431442"/>
        <bgColor theme="5" tint="0.79998168889431442"/>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ashed">
        <color indexed="64"/>
      </bottom>
      <diagonal/>
    </border>
    <border>
      <left/>
      <right/>
      <top style="dashed">
        <color indexed="64"/>
      </top>
      <bottom/>
      <diagonal/>
    </border>
    <border>
      <left/>
      <right style="thin">
        <color indexed="64"/>
      </right>
      <top/>
      <bottom/>
      <diagonal/>
    </border>
    <border>
      <left/>
      <right/>
      <top/>
      <bottom style="dashed">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bottom style="thick">
        <color theme="2"/>
      </bottom>
      <diagonal/>
    </border>
    <border>
      <left style="thin">
        <color theme="5" tint="0.39997558519241921"/>
      </left>
      <right/>
      <top style="thin">
        <color theme="5" tint="0.39997558519241921"/>
      </top>
      <bottom/>
      <diagonal/>
    </border>
    <border>
      <left/>
      <right style="thin">
        <color theme="5" tint="0.39997558519241921"/>
      </right>
      <top style="thin">
        <color theme="5" tint="0.39997558519241921"/>
      </top>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s>
  <cellStyleXfs count="4">
    <xf numFmtId="0" fontId="0" fillId="0" borderId="0"/>
    <xf numFmtId="0" fontId="19" fillId="4" borderId="46" applyNumberFormat="0" applyFill="0" applyBorder="0" applyAlignment="0">
      <protection locked="0"/>
    </xf>
    <xf numFmtId="0" fontId="20" fillId="0" borderId="0" applyProtection="0"/>
    <xf numFmtId="0" fontId="22" fillId="0" borderId="47" applyNumberFormat="0" applyFill="0" applyAlignment="0" applyProtection="0"/>
  </cellStyleXfs>
  <cellXfs count="201">
    <xf numFmtId="0" fontId="0" fillId="0" borderId="0" xfId="0"/>
    <xf numFmtId="0" fontId="0" fillId="3" borderId="3" xfId="0" applyFill="1" applyBorder="1" applyAlignment="1">
      <alignment vertical="center"/>
    </xf>
    <xf numFmtId="0" fontId="0" fillId="3" borderId="5" xfId="0" applyFill="1" applyBorder="1" applyAlignment="1">
      <alignment horizontal="center" vertical="center"/>
    </xf>
    <xf numFmtId="0" fontId="0" fillId="2" borderId="0" xfId="0" applyFill="1" applyAlignment="1">
      <alignment vertical="center"/>
    </xf>
    <xf numFmtId="0" fontId="0" fillId="3" borderId="1" xfId="0" applyFill="1" applyBorder="1" applyAlignment="1">
      <alignment vertical="center"/>
    </xf>
    <xf numFmtId="0" fontId="0" fillId="3" borderId="5" xfId="0" applyFill="1" applyBorder="1" applyAlignment="1">
      <alignment vertical="center"/>
    </xf>
    <xf numFmtId="9" fontId="0" fillId="3" borderId="1" xfId="0" applyNumberFormat="1" applyFill="1" applyBorder="1" applyAlignment="1">
      <alignment vertical="center"/>
    </xf>
    <xf numFmtId="0" fontId="1" fillId="2" borderId="0" xfId="0" applyFont="1" applyFill="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2" fillId="3" borderId="3" xfId="0" applyFont="1" applyFill="1" applyBorder="1" applyAlignment="1">
      <alignment vertical="top"/>
    </xf>
    <xf numFmtId="0" fontId="0" fillId="2" borderId="6" xfId="0" applyFill="1" applyBorder="1" applyAlignment="1">
      <alignment vertical="center"/>
    </xf>
    <xf numFmtId="0" fontId="0" fillId="2" borderId="7" xfId="0" applyFill="1" applyBorder="1" applyAlignment="1">
      <alignment vertical="center"/>
    </xf>
    <xf numFmtId="16" fontId="1" fillId="2" borderId="4" xfId="0" quotePrefix="1" applyNumberFormat="1" applyFont="1" applyFill="1" applyBorder="1" applyAlignment="1">
      <alignment horizontal="right" vertical="center"/>
    </xf>
    <xf numFmtId="164" fontId="1" fillId="2" borderId="0" xfId="0" applyNumberFormat="1" applyFont="1" applyFill="1" applyAlignment="1">
      <alignment vertical="center"/>
    </xf>
    <xf numFmtId="164" fontId="1" fillId="2" borderId="1" xfId="0" applyNumberFormat="1" applyFont="1" applyFill="1" applyBorder="1" applyAlignment="1">
      <alignment vertical="center"/>
    </xf>
    <xf numFmtId="164" fontId="0" fillId="3" borderId="1" xfId="0" applyNumberFormat="1" applyFill="1" applyBorder="1" applyAlignment="1">
      <alignment vertical="center"/>
    </xf>
    <xf numFmtId="164" fontId="0" fillId="2" borderId="0" xfId="0" applyNumberFormat="1" applyFill="1" applyAlignment="1">
      <alignment vertical="center"/>
    </xf>
    <xf numFmtId="165" fontId="0" fillId="3" borderId="1" xfId="0" applyNumberFormat="1" applyFill="1" applyBorder="1" applyAlignment="1">
      <alignment vertical="center"/>
    </xf>
    <xf numFmtId="165" fontId="1" fillId="2" borderId="0" xfId="0" applyNumberFormat="1" applyFont="1" applyFill="1" applyAlignment="1">
      <alignment vertical="center"/>
    </xf>
    <xf numFmtId="10" fontId="0" fillId="3" borderId="1" xfId="0" applyNumberFormat="1" applyFill="1" applyBorder="1" applyAlignment="1">
      <alignment vertical="center"/>
    </xf>
    <xf numFmtId="0" fontId="1" fillId="3" borderId="4" xfId="0" applyFont="1" applyFill="1" applyBorder="1" applyAlignment="1">
      <alignment vertical="center"/>
    </xf>
    <xf numFmtId="0" fontId="0" fillId="2" borderId="9" xfId="0" applyFill="1" applyBorder="1" applyAlignment="1">
      <alignment vertical="center"/>
    </xf>
    <xf numFmtId="0" fontId="0" fillId="2" borderId="8" xfId="0" applyFill="1" applyBorder="1" applyAlignment="1">
      <alignment vertical="center"/>
    </xf>
    <xf numFmtId="0" fontId="1" fillId="2" borderId="0" xfId="0" applyFont="1" applyFill="1" applyAlignment="1">
      <alignment horizontal="right" vertical="center"/>
    </xf>
    <xf numFmtId="0" fontId="1" fillId="3" borderId="4" xfId="0" applyFont="1" applyFill="1" applyBorder="1" applyAlignment="1">
      <alignment horizontal="center" vertical="center" wrapText="1"/>
    </xf>
    <xf numFmtId="0" fontId="0" fillId="2" borderId="0" xfId="0" applyFill="1" applyAlignment="1">
      <alignment vertical="center" wrapText="1"/>
    </xf>
    <xf numFmtId="0" fontId="1" fillId="3" borderId="1" xfId="0" applyFont="1" applyFill="1" applyBorder="1" applyAlignment="1">
      <alignment vertical="center"/>
    </xf>
    <xf numFmtId="0" fontId="1" fillId="2" borderId="1" xfId="0" applyFont="1" applyFill="1" applyBorder="1" applyAlignment="1">
      <alignment vertical="center"/>
    </xf>
    <xf numFmtId="165" fontId="1" fillId="2" borderId="1" xfId="0" applyNumberFormat="1" applyFont="1" applyFill="1" applyBorder="1" applyAlignment="1">
      <alignment vertical="center"/>
    </xf>
    <xf numFmtId="166" fontId="1" fillId="2" borderId="1" xfId="0" applyNumberFormat="1" applyFont="1" applyFill="1" applyBorder="1" applyAlignment="1">
      <alignment vertical="center"/>
    </xf>
    <xf numFmtId="0" fontId="0" fillId="2" borderId="1" xfId="0" applyFill="1" applyBorder="1" applyAlignment="1">
      <alignment vertical="center"/>
    </xf>
    <xf numFmtId="14" fontId="0" fillId="3" borderId="1" xfId="0" applyNumberFormat="1" applyFill="1" applyBorder="1" applyAlignment="1">
      <alignment vertical="center"/>
    </xf>
    <xf numFmtId="0" fontId="0" fillId="3" borderId="1" xfId="0" applyFill="1" applyBorder="1" applyAlignment="1">
      <alignment horizontal="center" vertical="center"/>
    </xf>
    <xf numFmtId="17" fontId="0" fillId="3" borderId="1" xfId="0" applyNumberFormat="1" applyFill="1" applyBorder="1" applyAlignment="1">
      <alignment horizontal="center" vertical="center"/>
    </xf>
    <xf numFmtId="49" fontId="0" fillId="3" borderId="1" xfId="0" applyNumberFormat="1" applyFill="1" applyBorder="1" applyAlignment="1">
      <alignment vertical="center"/>
    </xf>
    <xf numFmtId="0" fontId="1" fillId="3" borderId="4" xfId="0" applyFont="1" applyFill="1" applyBorder="1" applyAlignment="1">
      <alignment horizontal="right" vertical="center"/>
    </xf>
    <xf numFmtId="49" fontId="0" fillId="3" borderId="1" xfId="0" applyNumberFormat="1" applyFill="1" applyBorder="1" applyAlignment="1">
      <alignment horizontal="center" vertical="center"/>
    </xf>
    <xf numFmtId="168" fontId="0" fillId="3" borderId="1" xfId="0" applyNumberFormat="1" applyFill="1" applyBorder="1" applyAlignment="1">
      <alignment vertical="center"/>
    </xf>
    <xf numFmtId="164" fontId="0" fillId="3" borderId="1" xfId="0" applyNumberFormat="1" applyFill="1" applyBorder="1" applyAlignment="1">
      <alignment horizontal="right" vertical="center"/>
    </xf>
    <xf numFmtId="0" fontId="3" fillId="2" borderId="0" xfId="0" applyFont="1" applyFill="1" applyAlignment="1">
      <alignment vertical="center"/>
    </xf>
    <xf numFmtId="164" fontId="4" fillId="2" borderId="0" xfId="0" applyNumberFormat="1" applyFont="1" applyFill="1" applyAlignment="1">
      <alignment vertical="center"/>
    </xf>
    <xf numFmtId="164" fontId="4" fillId="2" borderId="0" xfId="0" applyNumberFormat="1" applyFont="1" applyFill="1" applyAlignment="1">
      <alignment horizontal="right" vertical="center"/>
    </xf>
    <xf numFmtId="0" fontId="1" fillId="2" borderId="4" xfId="0" applyFont="1" applyFill="1" applyBorder="1" applyAlignment="1">
      <alignment horizontal="right" vertical="center"/>
    </xf>
    <xf numFmtId="0" fontId="1" fillId="2" borderId="4" xfId="0" quotePrefix="1" applyFont="1" applyFill="1" applyBorder="1" applyAlignment="1">
      <alignment horizontal="right" vertical="center"/>
    </xf>
    <xf numFmtId="164" fontId="0" fillId="2" borderId="1" xfId="0" applyNumberFormat="1" applyFill="1" applyBorder="1" applyAlignment="1">
      <alignment vertical="center"/>
    </xf>
    <xf numFmtId="165" fontId="0" fillId="2" borderId="1" xfId="0" applyNumberFormat="1" applyFill="1" applyBorder="1" applyAlignment="1">
      <alignment vertical="center"/>
    </xf>
    <xf numFmtId="0" fontId="4" fillId="2" borderId="0" xfId="0" applyFont="1" applyFill="1" applyAlignment="1">
      <alignment horizontal="right" vertical="center"/>
    </xf>
    <xf numFmtId="164" fontId="1" fillId="2" borderId="3" xfId="0" applyNumberFormat="1" applyFont="1" applyFill="1" applyBorder="1" applyAlignment="1">
      <alignment vertical="center"/>
    </xf>
    <xf numFmtId="10" fontId="0" fillId="3" borderId="3" xfId="0" applyNumberFormat="1" applyFill="1" applyBorder="1" applyAlignment="1">
      <alignment vertical="center"/>
    </xf>
    <xf numFmtId="0" fontId="0" fillId="2" borderId="12" xfId="0" applyFill="1" applyBorder="1" applyAlignment="1">
      <alignment horizontal="right" vertical="center"/>
    </xf>
    <xf numFmtId="0" fontId="0" fillId="2" borderId="13" xfId="0" applyFill="1" applyBorder="1" applyAlignment="1">
      <alignment horizontal="right" vertical="center"/>
    </xf>
    <xf numFmtId="164" fontId="0" fillId="3" borderId="18" xfId="0" applyNumberFormat="1" applyFill="1" applyBorder="1" applyAlignment="1">
      <alignment vertical="center"/>
    </xf>
    <xf numFmtId="164" fontId="0" fillId="3" borderId="19" xfId="0" applyNumberFormat="1" applyFill="1" applyBorder="1" applyAlignment="1">
      <alignment vertical="center"/>
    </xf>
    <xf numFmtId="164" fontId="1" fillId="2" borderId="18" xfId="0" applyNumberFormat="1" applyFont="1" applyFill="1" applyBorder="1" applyAlignment="1">
      <alignment vertical="center"/>
    </xf>
    <xf numFmtId="164" fontId="1" fillId="2" borderId="19" xfId="0" applyNumberFormat="1" applyFont="1" applyFill="1" applyBorder="1" applyAlignment="1">
      <alignment vertical="center"/>
    </xf>
    <xf numFmtId="164" fontId="1" fillId="2" borderId="14" xfId="0" applyNumberFormat="1" applyFont="1" applyFill="1" applyBorder="1" applyAlignment="1">
      <alignment vertical="center"/>
    </xf>
    <xf numFmtId="164" fontId="1" fillId="2" borderId="15" xfId="0" applyNumberFormat="1" applyFont="1" applyFill="1" applyBorder="1" applyAlignment="1">
      <alignment vertical="center"/>
    </xf>
    <xf numFmtId="164" fontId="1" fillId="2" borderId="20" xfId="0" applyNumberFormat="1" applyFont="1" applyFill="1" applyBorder="1" applyAlignment="1">
      <alignment vertical="center"/>
    </xf>
    <xf numFmtId="164" fontId="1" fillId="2" borderId="21" xfId="0" applyNumberFormat="1" applyFont="1" applyFill="1" applyBorder="1" applyAlignment="1">
      <alignment vertical="center"/>
    </xf>
    <xf numFmtId="165" fontId="0" fillId="2" borderId="0" xfId="0" applyNumberFormat="1" applyFill="1" applyAlignment="1">
      <alignment vertical="center"/>
    </xf>
    <xf numFmtId="0" fontId="1" fillId="2" borderId="16" xfId="0" applyFont="1" applyFill="1" applyBorder="1" applyAlignment="1">
      <alignment vertical="center"/>
    </xf>
    <xf numFmtId="0" fontId="1" fillId="2" borderId="17" xfId="0" applyFont="1" applyFill="1" applyBorder="1" applyAlignment="1">
      <alignment vertical="center"/>
    </xf>
    <xf numFmtId="0" fontId="0" fillId="2" borderId="1" xfId="0" applyFill="1" applyBorder="1" applyAlignment="1">
      <alignment horizontal="right" vertical="center"/>
    </xf>
    <xf numFmtId="0" fontId="0" fillId="2" borderId="3" xfId="0" applyFill="1" applyBorder="1" applyAlignment="1">
      <alignment horizontal="right" vertical="center"/>
    </xf>
    <xf numFmtId="0" fontId="0" fillId="2" borderId="18" xfId="0" applyFill="1" applyBorder="1" applyAlignment="1">
      <alignment horizontal="right" vertical="center"/>
    </xf>
    <xf numFmtId="0" fontId="0" fillId="2" borderId="19" xfId="0" applyFill="1" applyBorder="1" applyAlignment="1">
      <alignment horizontal="right" vertical="center"/>
    </xf>
    <xf numFmtId="0" fontId="1" fillId="2" borderId="5" xfId="0" applyFont="1" applyFill="1" applyBorder="1" applyAlignment="1">
      <alignment vertic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1" fillId="2" borderId="22" xfId="0" applyFont="1" applyFill="1" applyBorder="1" applyAlignment="1">
      <alignment horizontal="right" vertical="center"/>
    </xf>
    <xf numFmtId="0" fontId="1" fillId="2" borderId="23" xfId="0" applyFont="1" applyFill="1" applyBorder="1" applyAlignment="1">
      <alignment vertical="center"/>
    </xf>
    <xf numFmtId="164" fontId="1" fillId="2" borderId="23" xfId="0" applyNumberFormat="1" applyFont="1" applyFill="1" applyBorder="1" applyAlignment="1">
      <alignment vertical="center"/>
    </xf>
    <xf numFmtId="0" fontId="1" fillId="2" borderId="24" xfId="0" applyFont="1" applyFill="1" applyBorder="1" applyAlignment="1">
      <alignment vertical="center"/>
    </xf>
    <xf numFmtId="0" fontId="1" fillId="2" borderId="25" xfId="0" applyFont="1" applyFill="1" applyBorder="1" applyAlignment="1">
      <alignment vertical="center"/>
    </xf>
    <xf numFmtId="0" fontId="1" fillId="2" borderId="8" xfId="0" applyFont="1" applyFill="1" applyBorder="1" applyAlignment="1">
      <alignment vertical="center"/>
    </xf>
    <xf numFmtId="0" fontId="1" fillId="2" borderId="10" xfId="0" applyFont="1" applyFill="1" applyBorder="1" applyAlignment="1">
      <alignment vertical="center"/>
    </xf>
    <xf numFmtId="0" fontId="1" fillId="2" borderId="11" xfId="0" applyFont="1" applyFill="1" applyBorder="1" applyAlignment="1">
      <alignment vertical="center"/>
    </xf>
    <xf numFmtId="164" fontId="0" fillId="2" borderId="11" xfId="0" applyNumberFormat="1" applyFill="1" applyBorder="1" applyAlignment="1">
      <alignment vertical="center"/>
    </xf>
    <xf numFmtId="164" fontId="1" fillId="2" borderId="11" xfId="0" applyNumberFormat="1" applyFont="1" applyFill="1" applyBorder="1" applyAlignment="1">
      <alignment vertical="center"/>
    </xf>
    <xf numFmtId="0" fontId="1" fillId="2" borderId="26" xfId="0" applyFont="1" applyFill="1" applyBorder="1" applyAlignment="1">
      <alignment vertical="center"/>
    </xf>
    <xf numFmtId="4" fontId="1" fillId="3" borderId="1" xfId="0" applyNumberFormat="1" applyFont="1" applyFill="1" applyBorder="1" applyAlignment="1">
      <alignment vertical="center"/>
    </xf>
    <xf numFmtId="4" fontId="0" fillId="3" borderId="1" xfId="0" applyNumberFormat="1" applyFill="1" applyBorder="1" applyAlignment="1">
      <alignment vertical="center"/>
    </xf>
    <xf numFmtId="4" fontId="1" fillId="2" borderId="1" xfId="0" applyNumberFormat="1" applyFont="1" applyFill="1" applyBorder="1" applyAlignment="1">
      <alignment vertical="center"/>
    </xf>
    <xf numFmtId="164" fontId="0" fillId="2" borderId="18" xfId="0" applyNumberFormat="1" applyFill="1" applyBorder="1" applyAlignment="1">
      <alignment vertical="center"/>
    </xf>
    <xf numFmtId="164" fontId="0" fillId="2" borderId="19" xfId="0" applyNumberFormat="1" applyFill="1" applyBorder="1" applyAlignment="1">
      <alignment vertical="center"/>
    </xf>
    <xf numFmtId="169" fontId="0" fillId="2" borderId="1" xfId="0" applyNumberFormat="1" applyFill="1" applyBorder="1" applyAlignment="1">
      <alignment vertical="center"/>
    </xf>
    <xf numFmtId="169" fontId="0" fillId="2" borderId="3" xfId="0" applyNumberFormat="1" applyFill="1" applyBorder="1" applyAlignment="1">
      <alignment vertical="center"/>
    </xf>
    <xf numFmtId="0" fontId="0" fillId="2" borderId="0" xfId="0" applyFill="1" applyAlignment="1">
      <alignment horizontal="right" vertical="center" indent="1"/>
    </xf>
    <xf numFmtId="0" fontId="0" fillId="2" borderId="1" xfId="0" applyFill="1" applyBorder="1" applyAlignment="1">
      <alignment horizontal="left" vertical="center" indent="1"/>
    </xf>
    <xf numFmtId="0" fontId="1" fillId="3" borderId="1" xfId="0" applyFont="1" applyFill="1" applyBorder="1" applyAlignment="1">
      <alignment horizontal="left" vertical="center"/>
    </xf>
    <xf numFmtId="164" fontId="1" fillId="3" borderId="1" xfId="0" applyNumberFormat="1" applyFont="1" applyFill="1" applyBorder="1" applyAlignment="1">
      <alignment vertical="center"/>
    </xf>
    <xf numFmtId="9" fontId="1" fillId="2" borderId="4" xfId="0" applyNumberFormat="1" applyFont="1" applyFill="1" applyBorder="1" applyAlignment="1">
      <alignment horizontal="center"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0" fillId="2" borderId="27" xfId="0" applyFill="1" applyBorder="1" applyAlignment="1">
      <alignment horizontal="right" vertical="center"/>
    </xf>
    <xf numFmtId="0" fontId="0" fillId="2" borderId="28" xfId="0" applyFill="1" applyBorder="1" applyAlignment="1">
      <alignment horizontal="right" vertical="center"/>
    </xf>
    <xf numFmtId="164" fontId="1" fillId="2" borderId="29" xfId="0" applyNumberFormat="1" applyFont="1" applyFill="1" applyBorder="1" applyAlignment="1">
      <alignment horizontal="right" vertical="center"/>
    </xf>
    <xf numFmtId="164" fontId="1" fillId="2" borderId="20" xfId="0" applyNumberFormat="1" applyFont="1" applyFill="1" applyBorder="1" applyAlignment="1">
      <alignment horizontal="right" vertical="center"/>
    </xf>
    <xf numFmtId="164" fontId="1" fillId="2" borderId="33" xfId="0" applyNumberFormat="1" applyFont="1" applyFill="1" applyBorder="1" applyAlignment="1">
      <alignment vertical="center"/>
    </xf>
    <xf numFmtId="164" fontId="1" fillId="2" borderId="34" xfId="0" applyNumberFormat="1" applyFont="1" applyFill="1" applyBorder="1" applyAlignment="1">
      <alignment vertical="center"/>
    </xf>
    <xf numFmtId="0" fontId="8" fillId="3" borderId="3" xfId="0" applyFont="1" applyFill="1" applyBorder="1" applyAlignment="1">
      <alignment vertical="top"/>
    </xf>
    <xf numFmtId="0" fontId="7" fillId="3" borderId="4" xfId="0" applyFont="1" applyFill="1" applyBorder="1" applyAlignment="1">
      <alignment vertical="center"/>
    </xf>
    <xf numFmtId="0" fontId="9" fillId="2" borderId="0" xfId="0" applyFont="1" applyFill="1" applyAlignment="1">
      <alignment vertical="center"/>
    </xf>
    <xf numFmtId="10" fontId="1" fillId="3" borderId="3" xfId="0" applyNumberFormat="1" applyFont="1" applyFill="1" applyBorder="1" applyAlignment="1">
      <alignment horizontal="center" vertical="center"/>
    </xf>
    <xf numFmtId="9" fontId="0" fillId="3" borderId="1" xfId="0" applyNumberFormat="1" applyFill="1" applyBorder="1" applyAlignment="1">
      <alignment horizontal="center" vertical="center"/>
    </xf>
    <xf numFmtId="165" fontId="3" fillId="2" borderId="1" xfId="0" applyNumberFormat="1" applyFont="1" applyFill="1" applyBorder="1" applyAlignment="1">
      <alignment horizontal="right" vertical="center"/>
    </xf>
    <xf numFmtId="164" fontId="1" fillId="2" borderId="4" xfId="0" applyNumberFormat="1" applyFont="1" applyFill="1" applyBorder="1" applyAlignment="1">
      <alignment vertical="center"/>
    </xf>
    <xf numFmtId="164" fontId="1" fillId="2" borderId="5" xfId="0" applyNumberFormat="1" applyFont="1" applyFill="1" applyBorder="1" applyAlignment="1">
      <alignment vertical="center"/>
    </xf>
    <xf numFmtId="16" fontId="1" fillId="2" borderId="4" xfId="0" quotePrefix="1" applyNumberFormat="1" applyFont="1" applyFill="1" applyBorder="1" applyAlignment="1">
      <alignment horizontal="center" vertical="center"/>
    </xf>
    <xf numFmtId="0" fontId="10" fillId="2" borderId="0" xfId="0" applyFont="1" applyFill="1" applyAlignment="1">
      <alignment vertical="center"/>
    </xf>
    <xf numFmtId="167" fontId="0" fillId="2" borderId="1" xfId="0" applyNumberFormat="1" applyFill="1" applyBorder="1" applyAlignment="1">
      <alignment vertical="center"/>
    </xf>
    <xf numFmtId="167" fontId="1" fillId="2" borderId="0" xfId="0" applyNumberFormat="1" applyFont="1" applyFill="1" applyAlignment="1">
      <alignment vertical="center"/>
    </xf>
    <xf numFmtId="164" fontId="1" fillId="2" borderId="35" xfId="0" applyNumberFormat="1" applyFont="1" applyFill="1" applyBorder="1" applyAlignment="1">
      <alignment vertical="center"/>
    </xf>
    <xf numFmtId="164" fontId="1" fillId="2" borderId="30" xfId="0" applyNumberFormat="1" applyFont="1" applyFill="1" applyBorder="1" applyAlignment="1">
      <alignment vertical="center"/>
    </xf>
    <xf numFmtId="169" fontId="0" fillId="3" borderId="1" xfId="0" applyNumberFormat="1" applyFill="1" applyBorder="1" applyAlignment="1">
      <alignment vertical="center"/>
    </xf>
    <xf numFmtId="169" fontId="0" fillId="3" borderId="3" xfId="0" applyNumberFormat="1" applyFill="1" applyBorder="1" applyAlignment="1">
      <alignment vertical="center"/>
    </xf>
    <xf numFmtId="2" fontId="0" fillId="3" borderId="1" xfId="0" applyNumberFormat="1" applyFill="1" applyBorder="1" applyAlignment="1">
      <alignment vertical="center"/>
    </xf>
    <xf numFmtId="2" fontId="1" fillId="2" borderId="1" xfId="0" applyNumberFormat="1" applyFont="1" applyFill="1" applyBorder="1" applyAlignment="1">
      <alignment vertical="center"/>
    </xf>
    <xf numFmtId="3" fontId="0" fillId="3" borderId="1" xfId="0" applyNumberFormat="1" applyFill="1" applyBorder="1" applyAlignment="1">
      <alignment vertical="center"/>
    </xf>
    <xf numFmtId="3" fontId="1" fillId="2" borderId="1" xfId="0" applyNumberFormat="1" applyFont="1" applyFill="1" applyBorder="1" applyAlignment="1">
      <alignment vertical="center"/>
    </xf>
    <xf numFmtId="165" fontId="0" fillId="3" borderId="3" xfId="0" applyNumberFormat="1" applyFill="1" applyBorder="1" applyAlignment="1">
      <alignment vertical="center"/>
    </xf>
    <xf numFmtId="9" fontId="0" fillId="3" borderId="3" xfId="0" applyNumberFormat="1" applyFill="1" applyBorder="1" applyAlignment="1">
      <alignment vertical="center"/>
    </xf>
    <xf numFmtId="0" fontId="0" fillId="2" borderId="36" xfId="0" applyFill="1" applyBorder="1" applyAlignment="1">
      <alignment vertical="center"/>
    </xf>
    <xf numFmtId="0" fontId="1" fillId="2" borderId="37" xfId="0" applyFont="1" applyFill="1" applyBorder="1" applyAlignment="1">
      <alignment vertical="center"/>
    </xf>
    <xf numFmtId="0" fontId="0" fillId="2" borderId="37" xfId="0" applyFill="1" applyBorder="1" applyAlignment="1">
      <alignment horizontal="right" vertical="center"/>
    </xf>
    <xf numFmtId="169" fontId="0" fillId="2" borderId="37" xfId="0" applyNumberFormat="1" applyFill="1" applyBorder="1" applyAlignment="1">
      <alignment vertical="center"/>
    </xf>
    <xf numFmtId="164" fontId="1" fillId="2" borderId="37" xfId="0" applyNumberFormat="1" applyFont="1" applyFill="1" applyBorder="1" applyAlignment="1">
      <alignment vertical="center"/>
    </xf>
    <xf numFmtId="164" fontId="1" fillId="2" borderId="38" xfId="0" applyNumberFormat="1" applyFont="1" applyFill="1" applyBorder="1" applyAlignment="1">
      <alignment vertical="center"/>
    </xf>
    <xf numFmtId="0" fontId="1" fillId="2" borderId="38" xfId="0" applyFont="1" applyFill="1" applyBorder="1" applyAlignment="1">
      <alignment vertical="center"/>
    </xf>
    <xf numFmtId="164" fontId="1" fillId="2" borderId="39" xfId="0" applyNumberFormat="1" applyFont="1" applyFill="1" applyBorder="1" applyAlignment="1">
      <alignment vertical="center"/>
    </xf>
    <xf numFmtId="0" fontId="0" fillId="2" borderId="3" xfId="0" applyFill="1" applyBorder="1" applyAlignment="1">
      <alignment vertical="center"/>
    </xf>
    <xf numFmtId="167" fontId="1" fillId="2" borderId="0" xfId="0" applyNumberFormat="1" applyFont="1" applyFill="1" applyAlignment="1">
      <alignment horizontal="right" vertical="center"/>
    </xf>
    <xf numFmtId="164" fontId="0" fillId="2" borderId="37" xfId="0" applyNumberFormat="1" applyFill="1" applyBorder="1" applyAlignment="1">
      <alignment vertical="center"/>
    </xf>
    <xf numFmtId="10" fontId="0" fillId="2" borderId="37" xfId="0" applyNumberFormat="1" applyFill="1" applyBorder="1" applyAlignment="1">
      <alignment vertical="center"/>
    </xf>
    <xf numFmtId="4" fontId="1" fillId="3" borderId="39" xfId="0" applyNumberFormat="1" applyFont="1" applyFill="1" applyBorder="1" applyAlignment="1">
      <alignment vertical="center"/>
    </xf>
    <xf numFmtId="9" fontId="1" fillId="3" borderId="4" xfId="0" applyNumberFormat="1" applyFont="1" applyFill="1" applyBorder="1" applyAlignment="1">
      <alignment horizontal="center" vertical="center"/>
    </xf>
    <xf numFmtId="0" fontId="1" fillId="3" borderId="40" xfId="0" applyFont="1" applyFill="1" applyBorder="1" applyAlignment="1">
      <alignment vertical="center"/>
    </xf>
    <xf numFmtId="0" fontId="1" fillId="3" borderId="39" xfId="0" applyFont="1" applyFill="1" applyBorder="1" applyAlignment="1">
      <alignment vertical="center"/>
    </xf>
    <xf numFmtId="0" fontId="0" fillId="2" borderId="0" xfId="0" applyFill="1" applyAlignment="1">
      <alignment horizontal="right" vertical="center"/>
    </xf>
    <xf numFmtId="49" fontId="0" fillId="3" borderId="3" xfId="0" applyNumberFormat="1" applyFill="1" applyBorder="1" applyAlignment="1">
      <alignment vertical="center"/>
    </xf>
    <xf numFmtId="0" fontId="1" fillId="2" borderId="0" xfId="0" applyFont="1" applyFill="1" applyAlignment="1">
      <alignment horizontal="left" vertical="center"/>
    </xf>
    <xf numFmtId="0" fontId="0" fillId="2" borderId="36" xfId="0" applyFill="1" applyBorder="1" applyAlignment="1">
      <alignment horizontal="center" vertical="center"/>
    </xf>
    <xf numFmtId="4" fontId="1" fillId="3" borderId="41" xfId="0" applyNumberFormat="1" applyFont="1" applyFill="1" applyBorder="1" applyAlignment="1">
      <alignment vertical="center"/>
    </xf>
    <xf numFmtId="164" fontId="1" fillId="2" borderId="42" xfId="0" applyNumberFormat="1" applyFont="1" applyFill="1" applyBorder="1" applyAlignment="1">
      <alignment horizontal="right" vertical="center"/>
    </xf>
    <xf numFmtId="164" fontId="1" fillId="2" borderId="43" xfId="0" applyNumberFormat="1" applyFont="1" applyFill="1" applyBorder="1" applyAlignment="1">
      <alignment vertical="center"/>
    </xf>
    <xf numFmtId="0" fontId="0" fillId="2" borderId="40" xfId="0" applyFill="1" applyBorder="1" applyAlignment="1">
      <alignment horizontal="center" vertical="center"/>
    </xf>
    <xf numFmtId="0" fontId="11" fillId="2" borderId="0" xfId="0" applyFont="1" applyFill="1" applyAlignment="1">
      <alignment vertical="center"/>
    </xf>
    <xf numFmtId="0" fontId="13" fillId="2" borderId="0" xfId="0" applyFont="1" applyFill="1" applyAlignment="1">
      <alignment vertical="center"/>
    </xf>
    <xf numFmtId="0" fontId="12" fillId="3" borderId="1" xfId="0" applyFont="1" applyFill="1" applyBorder="1" applyAlignment="1">
      <alignment vertical="center"/>
    </xf>
    <xf numFmtId="164" fontId="14" fillId="2" borderId="4" xfId="0" applyNumberFormat="1" applyFont="1" applyFill="1" applyBorder="1" applyAlignment="1">
      <alignment horizontal="right" vertical="center"/>
    </xf>
    <xf numFmtId="10" fontId="1" fillId="3" borderId="1" xfId="0" applyNumberFormat="1" applyFont="1" applyFill="1" applyBorder="1" applyAlignment="1">
      <alignment horizontal="center" vertical="center"/>
    </xf>
    <xf numFmtId="10" fontId="10" fillId="3" borderId="1" xfId="0" applyNumberFormat="1" applyFont="1" applyFill="1" applyBorder="1" applyAlignment="1">
      <alignment horizontal="center" vertical="center"/>
    </xf>
    <xf numFmtId="164" fontId="15" fillId="2" borderId="5" xfId="0" applyNumberFormat="1" applyFont="1" applyFill="1" applyBorder="1" applyAlignment="1">
      <alignment vertical="center"/>
    </xf>
    <xf numFmtId="164" fontId="15" fillId="2" borderId="0" xfId="0" applyNumberFormat="1" applyFont="1" applyFill="1" applyAlignment="1">
      <alignment vertical="center"/>
    </xf>
    <xf numFmtId="0" fontId="15" fillId="2" borderId="4" xfId="0" applyFont="1" applyFill="1" applyBorder="1" applyAlignment="1">
      <alignment vertical="center"/>
    </xf>
    <xf numFmtId="0" fontId="10" fillId="2" borderId="1" xfId="0" applyFont="1" applyFill="1" applyBorder="1" applyAlignment="1">
      <alignment horizontal="right" vertical="center"/>
    </xf>
    <xf numFmtId="164" fontId="10" fillId="3" borderId="1" xfId="0" applyNumberFormat="1" applyFont="1" applyFill="1" applyBorder="1" applyAlignment="1">
      <alignment vertical="center"/>
    </xf>
    <xf numFmtId="164" fontId="15" fillId="2" borderId="1" xfId="0" applyNumberFormat="1" applyFont="1" applyFill="1" applyBorder="1" applyAlignment="1">
      <alignment vertical="center"/>
    </xf>
    <xf numFmtId="0" fontId="15" fillId="2" borderId="0" xfId="0" applyFont="1" applyFill="1" applyAlignment="1">
      <alignment horizontal="right" vertical="center"/>
    </xf>
    <xf numFmtId="0" fontId="15" fillId="2" borderId="0" xfId="0" applyFont="1" applyFill="1" applyAlignment="1">
      <alignment vertical="center"/>
    </xf>
    <xf numFmtId="165" fontId="15" fillId="2" borderId="0" xfId="0" applyNumberFormat="1" applyFont="1" applyFill="1" applyAlignment="1">
      <alignment vertical="center"/>
    </xf>
    <xf numFmtId="0" fontId="15" fillId="2" borderId="3" xfId="0" applyFont="1" applyFill="1" applyBorder="1" applyAlignment="1">
      <alignment vertical="center"/>
    </xf>
    <xf numFmtId="0" fontId="15" fillId="2" borderId="5" xfId="0" applyFont="1" applyFill="1" applyBorder="1" applyAlignment="1">
      <alignment vertical="center"/>
    </xf>
    <xf numFmtId="0" fontId="10" fillId="2" borderId="1" xfId="0" applyFont="1" applyFill="1" applyBorder="1" applyAlignment="1">
      <alignment vertical="center"/>
    </xf>
    <xf numFmtId="0" fontId="10" fillId="3" borderId="1" xfId="0" applyFont="1" applyFill="1" applyBorder="1" applyAlignment="1">
      <alignment vertical="center"/>
    </xf>
    <xf numFmtId="165" fontId="10" fillId="3" borderId="1" xfId="0" applyNumberFormat="1" applyFont="1" applyFill="1" applyBorder="1" applyAlignment="1">
      <alignment vertical="center"/>
    </xf>
    <xf numFmtId="165" fontId="10" fillId="2" borderId="1" xfId="0" applyNumberFormat="1" applyFont="1" applyFill="1" applyBorder="1" applyAlignment="1">
      <alignment vertical="center"/>
    </xf>
    <xf numFmtId="17" fontId="0" fillId="3" borderId="1" xfId="0" applyNumberFormat="1" applyFill="1" applyBorder="1" applyAlignment="1">
      <alignment vertical="center"/>
    </xf>
    <xf numFmtId="49" fontId="0" fillId="3" borderId="2" xfId="0" applyNumberFormat="1" applyFill="1" applyBorder="1" applyAlignment="1">
      <alignment vertical="center"/>
    </xf>
    <xf numFmtId="0" fontId="0" fillId="2" borderId="44" xfId="0" applyFill="1" applyBorder="1" applyAlignment="1">
      <alignment horizontal="right" vertical="center"/>
    </xf>
    <xf numFmtId="0" fontId="1" fillId="2" borderId="44" xfId="0" applyFont="1" applyFill="1" applyBorder="1" applyAlignment="1">
      <alignment vertical="center"/>
    </xf>
    <xf numFmtId="0" fontId="0" fillId="2" borderId="45" xfId="0" applyFill="1" applyBorder="1" applyAlignment="1">
      <alignment horizontal="right" vertical="center"/>
    </xf>
    <xf numFmtId="164" fontId="16" fillId="3" borderId="1" xfId="0" applyNumberFormat="1" applyFont="1"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18" fillId="2" borderId="0" xfId="0" applyFont="1" applyFill="1" applyAlignment="1">
      <alignment vertical="center"/>
    </xf>
    <xf numFmtId="0" fontId="16" fillId="2" borderId="0" xfId="0" applyFont="1" applyFill="1" applyAlignment="1">
      <alignment vertical="center"/>
    </xf>
    <xf numFmtId="167" fontId="0" fillId="2" borderId="0" xfId="0" applyNumberFormat="1" applyFill="1" applyAlignment="1">
      <alignment vertical="center"/>
    </xf>
    <xf numFmtId="49" fontId="0" fillId="3" borderId="1" xfId="0" applyNumberFormat="1" applyFill="1" applyBorder="1" applyAlignment="1">
      <alignment horizontal="left" vertical="center"/>
    </xf>
    <xf numFmtId="0" fontId="0" fillId="3" borderId="1" xfId="0" applyFill="1" applyBorder="1" applyAlignment="1">
      <alignment horizontal="left" vertical="center"/>
    </xf>
    <xf numFmtId="9" fontId="0" fillId="3" borderId="3" xfId="0" applyNumberFormat="1" applyFill="1" applyBorder="1" applyAlignment="1">
      <alignment horizontal="center" vertical="center"/>
    </xf>
    <xf numFmtId="9" fontId="0" fillId="3" borderId="4" xfId="0" applyNumberFormat="1" applyFill="1" applyBorder="1" applyAlignment="1">
      <alignment horizontal="center" vertical="center"/>
    </xf>
    <xf numFmtId="9" fontId="0" fillId="3" borderId="5" xfId="0" applyNumberFormat="1" applyFill="1" applyBorder="1" applyAlignment="1">
      <alignment horizontal="center" vertical="center"/>
    </xf>
    <xf numFmtId="0" fontId="0" fillId="2" borderId="3" xfId="0" applyFill="1" applyBorder="1" applyAlignment="1">
      <alignment horizontal="center" vertical="center"/>
    </xf>
    <xf numFmtId="0" fontId="0" fillId="2" borderId="5" xfId="0" applyFill="1" applyBorder="1" applyAlignment="1">
      <alignment horizontal="center" vertical="center"/>
    </xf>
    <xf numFmtId="0" fontId="0" fillId="2" borderId="3" xfId="0" applyFill="1" applyBorder="1" applyAlignment="1">
      <alignment horizontal="left" vertical="center"/>
    </xf>
    <xf numFmtId="0" fontId="0" fillId="2" borderId="5" xfId="0" applyFill="1" applyBorder="1" applyAlignment="1">
      <alignment horizontal="left" vertical="center"/>
    </xf>
    <xf numFmtId="0" fontId="19" fillId="0" borderId="0" xfId="1" applyFill="1" applyBorder="1">
      <protection locked="0"/>
    </xf>
    <xf numFmtId="0" fontId="21" fillId="0" borderId="0" xfId="2" applyFont="1"/>
    <xf numFmtId="0" fontId="23" fillId="0" borderId="47" xfId="3" applyFont="1" applyAlignment="1">
      <alignment horizontal="left"/>
    </xf>
    <xf numFmtId="0" fontId="23" fillId="0" borderId="47" xfId="3" applyFont="1"/>
    <xf numFmtId="0" fontId="24" fillId="5" borderId="48" xfId="2" applyFont="1" applyFill="1" applyBorder="1"/>
    <xf numFmtId="0" fontId="24" fillId="5" borderId="49" xfId="2" applyFont="1" applyFill="1" applyBorder="1"/>
    <xf numFmtId="0" fontId="25" fillId="6" borderId="48" xfId="2" applyFont="1" applyFill="1" applyBorder="1"/>
    <xf numFmtId="0" fontId="25" fillId="6" borderId="49" xfId="2" applyFont="1" applyFill="1" applyBorder="1"/>
    <xf numFmtId="0" fontId="25" fillId="0" borderId="48" xfId="2" applyFont="1" applyBorder="1"/>
    <xf numFmtId="14" fontId="25" fillId="0" borderId="49" xfId="2" applyNumberFormat="1" applyFont="1" applyBorder="1"/>
    <xf numFmtId="0" fontId="25" fillId="0" borderId="49" xfId="2" applyFont="1" applyBorder="1"/>
    <xf numFmtId="0" fontId="25" fillId="0" borderId="50" xfId="2" applyFont="1" applyBorder="1"/>
    <xf numFmtId="0" fontId="25" fillId="0" borderId="51" xfId="2" applyFont="1" applyBorder="1"/>
  </cellXfs>
  <cellStyles count="4">
    <cellStyle name="Heading 1 2" xfId="3" xr:uid="{5C2876FE-0DB0-4C5F-B3C4-A3B472C1F605}"/>
    <cellStyle name="Normal" xfId="0" builtinId="0"/>
    <cellStyle name="Normal 2" xfId="2" xr:uid="{B1A70F35-AA88-4EA0-BC07-D992F526D66D}"/>
    <cellStyle name="Note 2" xfId="1" xr:uid="{77E9804B-16C2-4AEC-A77C-99A034C6CD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3</xdr:col>
      <xdr:colOff>829915</xdr:colOff>
      <xdr:row>0</xdr:row>
      <xdr:rowOff>86912</xdr:rowOff>
    </xdr:from>
    <xdr:to>
      <xdr:col>3</xdr:col>
      <xdr:colOff>2163126</xdr:colOff>
      <xdr:row>3</xdr:row>
      <xdr:rowOff>10250</xdr:rowOff>
    </xdr:to>
    <xdr:pic>
      <xdr:nvPicPr>
        <xdr:cNvPr id="2" name="Picture 1">
          <a:extLst>
            <a:ext uri="{FF2B5EF4-FFF2-40B4-BE49-F238E27FC236}">
              <a16:creationId xmlns:a16="http://schemas.microsoft.com/office/drawing/2014/main" id="{3DE8CE9C-71ED-4949-A419-0E6F663ACB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79940" y="83737"/>
          <a:ext cx="1336386" cy="488488"/>
        </a:xfrm>
        <a:prstGeom prst="rect">
          <a:avLst/>
        </a:prstGeom>
      </xdr:spPr>
    </xdr:pic>
    <xdr:clientData/>
  </xdr:twoCellAnchor>
  <xdr:twoCellAnchor editAs="oneCell">
    <xdr:from>
      <xdr:col>3</xdr:col>
      <xdr:colOff>671973</xdr:colOff>
      <xdr:row>26</xdr:row>
      <xdr:rowOff>129556</xdr:rowOff>
    </xdr:from>
    <xdr:to>
      <xdr:col>3</xdr:col>
      <xdr:colOff>2163126</xdr:colOff>
      <xdr:row>27</xdr:row>
      <xdr:rowOff>84760</xdr:rowOff>
    </xdr:to>
    <xdr:pic>
      <xdr:nvPicPr>
        <xdr:cNvPr id="3" name="Picture 2">
          <a:extLst>
            <a:ext uri="{FF2B5EF4-FFF2-40B4-BE49-F238E27FC236}">
              <a16:creationId xmlns:a16="http://schemas.microsoft.com/office/drawing/2014/main" id="{F64648F7-3922-424D-A8EE-29C7F0C393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28348" y="5498481"/>
          <a:ext cx="1487978" cy="13935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C6DA-9C38-4156-80AC-8A7475EBF4DC}">
  <sheetPr codeName="shtHeaderPage">
    <tabColor rgb="FF000001"/>
    <pageSetUpPr fitToPage="1"/>
  </sheetPr>
  <dimension ref="A1:C17"/>
  <sheetViews>
    <sheetView showGridLines="0" zoomScale="85" zoomScaleNormal="85" zoomScaleSheetLayoutView="70" workbookViewId="0">
      <selection activeCell="C29" sqref="C29"/>
    </sheetView>
  </sheetViews>
  <sheetFormatPr defaultColWidth="11" defaultRowHeight="14.5" x14ac:dyDescent="0.35"/>
  <cols>
    <col min="1" max="1" width="11" style="189"/>
    <col min="2" max="2" width="32.26953125" style="189" bestFit="1" customWidth="1"/>
    <col min="3" max="3" width="50.453125" style="189" customWidth="1"/>
    <col min="4" max="4" width="35.90625" style="189" customWidth="1"/>
    <col min="5" max="5" width="11.1796875" style="189" customWidth="1"/>
    <col min="6" max="16384" width="11" style="189"/>
  </cols>
  <sheetData>
    <row r="1" spans="1:3" ht="15.5" x14ac:dyDescent="0.35">
      <c r="A1" s="188" t="str">
        <f>Classification &amp; IF(TRIM(Classification_Caveat)&lt;&gt;""," - " &amp; Classification_Caveat,"")</f>
        <v>ESA UNCLASSIFIED - For ESA Official Use Only</v>
      </c>
    </row>
    <row r="4" spans="1:3" ht="64.5" customHeight="1" thickBot="1" x14ac:dyDescent="0.5">
      <c r="B4" s="190" t="str">
        <f>Subject</f>
        <v>ESA STANDARD PRICE BREAKDOWN FORMS</v>
      </c>
      <c r="C4" s="191"/>
    </row>
    <row r="5" spans="1:3" ht="15" thickTop="1" x14ac:dyDescent="0.35">
      <c r="B5" s="192" t="s">
        <v>256</v>
      </c>
      <c r="C5" s="193" t="s">
        <v>257</v>
      </c>
    </row>
    <row r="6" spans="1:3" x14ac:dyDescent="0.35">
      <c r="B6" s="194" t="s">
        <v>258</v>
      </c>
      <c r="C6" s="195" t="str">
        <f>Reference</f>
        <v>ESA-CIC-IAB-DRD-2026-6630-PP</v>
      </c>
    </row>
    <row r="7" spans="1:3" x14ac:dyDescent="0.35">
      <c r="B7" s="196" t="s">
        <v>259</v>
      </c>
      <c r="C7" s="197" t="str">
        <f>Issue_Date</f>
        <v>15/03/2026</v>
      </c>
    </row>
    <row r="8" spans="1:3" x14ac:dyDescent="0.35">
      <c r="B8" s="194" t="s">
        <v>260</v>
      </c>
      <c r="C8" s="195" t="str">
        <f>Issue</f>
        <v>6</v>
      </c>
    </row>
    <row r="9" spans="1:3" x14ac:dyDescent="0.35">
      <c r="B9" s="196" t="s">
        <v>261</v>
      </c>
      <c r="C9" s="198" t="str">
        <f>Revision</f>
        <v>0</v>
      </c>
    </row>
    <row r="10" spans="1:3" x14ac:dyDescent="0.35">
      <c r="B10" s="194" t="s">
        <v>262</v>
      </c>
      <c r="C10" s="195" t="str">
        <f>Author</f>
        <v>Paolo Ponzio</v>
      </c>
    </row>
    <row r="11" spans="1:3" x14ac:dyDescent="0.35">
      <c r="B11" s="196" t="s">
        <v>263</v>
      </c>
      <c r="C11" s="198" t="str">
        <f>Originating_Organisation</f>
        <v>ESA-CIC-IA</v>
      </c>
    </row>
    <row r="12" spans="1:3" x14ac:dyDescent="0.35">
      <c r="B12" s="194" t="s">
        <v>264</v>
      </c>
      <c r="C12" s="195" t="str">
        <f>Distribution</f>
        <v xml:space="preserve"> </v>
      </c>
    </row>
    <row r="13" spans="1:3" x14ac:dyDescent="0.35">
      <c r="B13" s="196" t="s">
        <v>265</v>
      </c>
      <c r="C13" s="198" t="str">
        <f>Document_Type</f>
        <v>DRD - Document Requirements Definition</v>
      </c>
    </row>
    <row r="14" spans="1:3" x14ac:dyDescent="0.35">
      <c r="B14" s="194" t="s">
        <v>266</v>
      </c>
      <c r="C14" s="195" t="str">
        <f>Status</f>
        <v>Issued</v>
      </c>
    </row>
    <row r="15" spans="1:3" x14ac:dyDescent="0.35">
      <c r="B15" s="196" t="s">
        <v>267</v>
      </c>
      <c r="C15" s="198" t="str">
        <f>bmsSitename</f>
        <v/>
      </c>
    </row>
    <row r="16" spans="1:3" x14ac:dyDescent="0.35">
      <c r="B16" s="194" t="s">
        <v>268</v>
      </c>
      <c r="C16" s="195" t="str">
        <f>Keywords</f>
        <v xml:space="preserve"> </v>
      </c>
    </row>
    <row r="17" spans="2:3" x14ac:dyDescent="0.35">
      <c r="B17" s="199" t="s">
        <v>269</v>
      </c>
      <c r="C17" s="200" t="str">
        <f>Comments</f>
        <v xml:space="preserve"> </v>
      </c>
    </row>
  </sheetData>
  <pageMargins left="0.70866141732283472" right="0.70866141732283472" top="0.74803149606299213" bottom="0.74803149606299213" header="0.31496062992125984" footer="0.31496062992125984"/>
  <pageSetup paperSize="9" orientation="landscape"/>
  <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9ACF-2AAE-47F9-9891-5D1D2B4C86F3}">
  <dimension ref="B2:N72"/>
  <sheetViews>
    <sheetView tabSelected="1" zoomScaleNormal="100" workbookViewId="0">
      <selection activeCell="L26" sqref="L26"/>
    </sheetView>
  </sheetViews>
  <sheetFormatPr defaultColWidth="8.6328125" defaultRowHeight="14.5" x14ac:dyDescent="0.35"/>
  <cols>
    <col min="1" max="1" width="2.81640625" style="3" customWidth="1"/>
    <col min="2" max="2" width="14.453125" style="3" customWidth="1"/>
    <col min="3" max="3" width="40.1796875" style="3" customWidth="1"/>
    <col min="4" max="4" width="19" style="3" customWidth="1"/>
    <col min="5" max="5" width="19.90625" style="3" customWidth="1"/>
    <col min="6" max="6" width="17.81640625" style="3" customWidth="1"/>
    <col min="7" max="7" width="21.81640625" style="3" customWidth="1"/>
    <col min="8" max="8" width="16.81640625" style="3" customWidth="1"/>
    <col min="9" max="9" width="16.54296875" style="3" bestFit="1" customWidth="1"/>
    <col min="10" max="10" width="2.81640625" style="3" customWidth="1"/>
    <col min="11" max="12" width="8.6328125" style="3"/>
    <col min="13" max="13" width="43.54296875" style="3" customWidth="1"/>
    <col min="14" max="16384" width="8.6328125" style="3"/>
  </cols>
  <sheetData>
    <row r="2" spans="2:14" ht="40" customHeight="1" x14ac:dyDescent="0.35">
      <c r="B2" s="101" t="s">
        <v>15</v>
      </c>
      <c r="C2" s="102" t="s">
        <v>61</v>
      </c>
      <c r="D2" s="21"/>
      <c r="E2" s="21"/>
      <c r="F2" s="21"/>
      <c r="G2" s="21"/>
      <c r="H2" s="36" t="s">
        <v>210</v>
      </c>
      <c r="I2" s="2" t="s">
        <v>1</v>
      </c>
    </row>
    <row r="3" spans="2:14" ht="7" customHeight="1" x14ac:dyDescent="0.35">
      <c r="B3" s="11"/>
      <c r="C3" s="11"/>
      <c r="D3" s="11"/>
      <c r="E3" s="11"/>
      <c r="F3" s="11"/>
      <c r="G3" s="11"/>
      <c r="H3" s="11"/>
      <c r="I3" s="11"/>
    </row>
    <row r="4" spans="2:14" ht="7" customHeight="1" x14ac:dyDescent="0.35">
      <c r="B4" s="12"/>
      <c r="C4" s="12"/>
      <c r="D4" s="12"/>
      <c r="E4" s="12"/>
      <c r="F4" s="12"/>
      <c r="G4" s="12"/>
      <c r="H4" s="12"/>
      <c r="I4" s="12"/>
    </row>
    <row r="5" spans="2:14" x14ac:dyDescent="0.35">
      <c r="C5" s="31" t="s">
        <v>0</v>
      </c>
      <c r="D5" s="35"/>
      <c r="G5" s="31" t="s">
        <v>123</v>
      </c>
      <c r="H5" s="35" t="s">
        <v>7</v>
      </c>
      <c r="I5" s="35" t="s">
        <v>8</v>
      </c>
      <c r="M5" s="165" t="s">
        <v>3</v>
      </c>
      <c r="N5" s="165"/>
    </row>
    <row r="6" spans="2:14" x14ac:dyDescent="0.35">
      <c r="C6" s="31" t="s">
        <v>32</v>
      </c>
      <c r="D6" s="35"/>
      <c r="G6" s="31" t="s">
        <v>33</v>
      </c>
      <c r="H6" s="35" t="s">
        <v>10</v>
      </c>
      <c r="I6" s="35" t="s">
        <v>9</v>
      </c>
      <c r="M6" s="110" t="s">
        <v>89</v>
      </c>
      <c r="N6" s="110" t="s">
        <v>90</v>
      </c>
    </row>
    <row r="7" spans="2:14" x14ac:dyDescent="0.35">
      <c r="G7" s="31" t="s">
        <v>126</v>
      </c>
      <c r="H7" s="35"/>
      <c r="I7" s="32"/>
      <c r="M7" s="110" t="s">
        <v>91</v>
      </c>
      <c r="N7" s="110" t="s">
        <v>92</v>
      </c>
    </row>
    <row r="8" spans="2:14" ht="29" customHeight="1" x14ac:dyDescent="0.35">
      <c r="G8" s="31" t="s">
        <v>215</v>
      </c>
      <c r="H8" s="140"/>
      <c r="I8" s="5"/>
      <c r="M8" s="110" t="s">
        <v>93</v>
      </c>
      <c r="N8" s="110" t="s">
        <v>94</v>
      </c>
    </row>
    <row r="9" spans="2:14" x14ac:dyDescent="0.35">
      <c r="M9" s="110" t="s">
        <v>102</v>
      </c>
      <c r="N9" s="110" t="s">
        <v>95</v>
      </c>
    </row>
    <row r="10" spans="2:14" x14ac:dyDescent="0.35">
      <c r="C10" s="31" t="s">
        <v>221</v>
      </c>
      <c r="D10" s="34"/>
      <c r="E10" s="148" t="s">
        <v>209</v>
      </c>
      <c r="G10" s="31" t="s">
        <v>4</v>
      </c>
      <c r="H10" s="37" t="s">
        <v>66</v>
      </c>
      <c r="I10" s="35"/>
      <c r="M10" s="110" t="s">
        <v>96</v>
      </c>
      <c r="N10" s="110" t="s">
        <v>99</v>
      </c>
    </row>
    <row r="11" spans="2:14" x14ac:dyDescent="0.35">
      <c r="C11" s="31" t="s">
        <v>3</v>
      </c>
      <c r="D11" s="33"/>
      <c r="E11" s="148" t="e">
        <f>_xlfn.XLOOKUP(D11, ptype, ptypet)</f>
        <v>#N/A</v>
      </c>
      <c r="G11" s="31" t="s">
        <v>5</v>
      </c>
      <c r="H11" s="38">
        <v>1</v>
      </c>
      <c r="I11" s="89" t="str">
        <f>IF(H10="", "EUR", H10)</f>
        <v>EUR</v>
      </c>
      <c r="M11" s="110" t="s">
        <v>97</v>
      </c>
      <c r="N11" s="110" t="s">
        <v>100</v>
      </c>
    </row>
    <row r="12" spans="2:14" x14ac:dyDescent="0.35">
      <c r="C12" s="3" t="s">
        <v>11</v>
      </c>
      <c r="M12" s="110" t="s">
        <v>98</v>
      </c>
      <c r="N12" s="110" t="s">
        <v>101</v>
      </c>
    </row>
    <row r="13" spans="2:14" x14ac:dyDescent="0.35">
      <c r="B13" s="23"/>
      <c r="C13" s="31" t="s">
        <v>217</v>
      </c>
      <c r="D13" s="179"/>
      <c r="E13" s="179"/>
      <c r="F13" s="179"/>
      <c r="H13" s="31" t="s">
        <v>6</v>
      </c>
      <c r="I13" s="169"/>
      <c r="M13" s="110" t="s">
        <v>103</v>
      </c>
      <c r="N13" s="110" t="s">
        <v>104</v>
      </c>
    </row>
    <row r="14" spans="2:14" ht="7.5" customHeight="1" x14ac:dyDescent="0.35">
      <c r="B14" s="22"/>
      <c r="C14" s="11"/>
      <c r="D14" s="11"/>
      <c r="E14" s="11"/>
      <c r="F14" s="11"/>
      <c r="G14" s="11"/>
      <c r="H14" s="11"/>
      <c r="I14" s="11"/>
    </row>
    <row r="15" spans="2:14" ht="7.5" customHeight="1" x14ac:dyDescent="0.35">
      <c r="B15" s="12"/>
      <c r="C15" s="12"/>
      <c r="D15" s="12"/>
      <c r="E15" s="12"/>
      <c r="F15" s="12"/>
      <c r="G15" s="12"/>
      <c r="H15" s="12"/>
      <c r="I15" s="12"/>
    </row>
    <row r="16" spans="2:14" s="7" customFormat="1" x14ac:dyDescent="0.35">
      <c r="B16" s="8" t="s">
        <v>12</v>
      </c>
      <c r="C16" s="9"/>
      <c r="D16" s="9"/>
      <c r="E16" s="9"/>
      <c r="F16" s="9"/>
      <c r="G16" s="9"/>
      <c r="H16" s="9"/>
      <c r="I16" s="67"/>
    </row>
    <row r="17" spans="2:9" x14ac:dyDescent="0.35">
      <c r="B17" s="31" t="s">
        <v>13</v>
      </c>
      <c r="C17" s="31" t="s">
        <v>14</v>
      </c>
      <c r="D17" s="63" t="s">
        <v>202</v>
      </c>
      <c r="E17" s="63" t="s">
        <v>192</v>
      </c>
      <c r="F17" s="63" t="s">
        <v>193</v>
      </c>
      <c r="G17" s="63" t="s">
        <v>20</v>
      </c>
      <c r="H17" s="63" t="s">
        <v>190</v>
      </c>
      <c r="I17" s="63" t="s">
        <v>191</v>
      </c>
    </row>
    <row r="18" spans="2:9" x14ac:dyDescent="0.35">
      <c r="B18" s="4"/>
      <c r="C18" s="4"/>
      <c r="D18" s="119"/>
      <c r="E18" s="117"/>
      <c r="F18" s="18"/>
      <c r="G18" s="16"/>
      <c r="H18" s="16">
        <f>F18*G18</f>
        <v>0</v>
      </c>
      <c r="I18" s="16">
        <f>IF($H$11&gt;0, H18/$H$11, 0)</f>
        <v>0</v>
      </c>
    </row>
    <row r="19" spans="2:9" x14ac:dyDescent="0.35">
      <c r="B19" s="4"/>
      <c r="C19" s="4"/>
      <c r="D19" s="119"/>
      <c r="E19" s="117"/>
      <c r="F19" s="18"/>
      <c r="G19" s="16"/>
      <c r="H19" s="16">
        <f t="shared" ref="H19:H25" si="0">F19*G19</f>
        <v>0</v>
      </c>
      <c r="I19" s="16">
        <f t="shared" ref="I19:I27" si="1">IF($H$11&gt;0, H19/$H$11, 0)</f>
        <v>0</v>
      </c>
    </row>
    <row r="20" spans="2:9" x14ac:dyDescent="0.35">
      <c r="B20" s="4"/>
      <c r="C20" s="4"/>
      <c r="D20" s="119"/>
      <c r="E20" s="117"/>
      <c r="F20" s="18"/>
      <c r="G20" s="16"/>
      <c r="H20" s="16">
        <f t="shared" ref="H20:H22" si="2">F20*G20</f>
        <v>0</v>
      </c>
      <c r="I20" s="16">
        <f t="shared" si="1"/>
        <v>0</v>
      </c>
    </row>
    <row r="21" spans="2:9" x14ac:dyDescent="0.35">
      <c r="B21" s="4"/>
      <c r="C21" s="4"/>
      <c r="D21" s="119"/>
      <c r="E21" s="117"/>
      <c r="F21" s="18"/>
      <c r="G21" s="16"/>
      <c r="H21" s="16">
        <f t="shared" si="2"/>
        <v>0</v>
      </c>
      <c r="I21" s="16">
        <f t="shared" si="1"/>
        <v>0</v>
      </c>
    </row>
    <row r="22" spans="2:9" x14ac:dyDescent="0.35">
      <c r="B22" s="4"/>
      <c r="C22" s="4"/>
      <c r="D22" s="119"/>
      <c r="E22" s="117"/>
      <c r="F22" s="18"/>
      <c r="G22" s="16"/>
      <c r="H22" s="16">
        <f t="shared" si="2"/>
        <v>0</v>
      </c>
      <c r="I22" s="16">
        <f t="shared" si="1"/>
        <v>0</v>
      </c>
    </row>
    <row r="23" spans="2:9" x14ac:dyDescent="0.35">
      <c r="B23" s="4"/>
      <c r="C23" s="4"/>
      <c r="D23" s="119"/>
      <c r="E23" s="117"/>
      <c r="F23" s="18"/>
      <c r="G23" s="16"/>
      <c r="H23" s="16">
        <f t="shared" si="0"/>
        <v>0</v>
      </c>
      <c r="I23" s="16">
        <f t="shared" si="1"/>
        <v>0</v>
      </c>
    </row>
    <row r="24" spans="2:9" x14ac:dyDescent="0.35">
      <c r="B24" s="4"/>
      <c r="C24" s="4"/>
      <c r="D24" s="119"/>
      <c r="E24" s="117"/>
      <c r="F24" s="18"/>
      <c r="G24" s="16"/>
      <c r="H24" s="16">
        <f t="shared" si="0"/>
        <v>0</v>
      </c>
      <c r="I24" s="16">
        <f t="shared" si="1"/>
        <v>0</v>
      </c>
    </row>
    <row r="25" spans="2:9" x14ac:dyDescent="0.35">
      <c r="B25" s="4"/>
      <c r="C25" s="4"/>
      <c r="D25" s="119"/>
      <c r="E25" s="117"/>
      <c r="F25" s="18"/>
      <c r="G25" s="16"/>
      <c r="H25" s="16">
        <f t="shared" si="0"/>
        <v>0</v>
      </c>
      <c r="I25" s="16">
        <f t="shared" si="1"/>
        <v>0</v>
      </c>
    </row>
    <row r="26" spans="2:9" x14ac:dyDescent="0.35">
      <c r="B26" s="28"/>
      <c r="C26" s="28" t="s">
        <v>194</v>
      </c>
      <c r="D26" s="120">
        <f>IF(E26&gt;0, SUMPRODUCT(D18:D25, E18:E25)/E26, 0)</f>
        <v>0</v>
      </c>
      <c r="E26" s="118">
        <f>SUM(E18:E25)</f>
        <v>0</v>
      </c>
      <c r="F26" s="30">
        <f>SUM(F18:F25)</f>
        <v>0</v>
      </c>
      <c r="G26" s="15">
        <f>IF(F26&gt;0, H26/F26, 0)</f>
        <v>0</v>
      </c>
      <c r="H26" s="15">
        <f>SUM(H18:H25)</f>
        <v>0</v>
      </c>
      <c r="I26" s="15">
        <f>SUM(I18:I25)</f>
        <v>0</v>
      </c>
    </row>
    <row r="27" spans="2:9" x14ac:dyDescent="0.35">
      <c r="B27" s="31" t="s">
        <v>157</v>
      </c>
      <c r="C27" s="31" t="s">
        <v>152</v>
      </c>
      <c r="D27" s="106" t="s">
        <v>153</v>
      </c>
      <c r="E27" s="105">
        <v>0.1</v>
      </c>
      <c r="F27" s="106" t="s">
        <v>154</v>
      </c>
      <c r="G27" s="152">
        <f>IF(H26&gt;0, (H27/H26), 0)</f>
        <v>0</v>
      </c>
      <c r="H27" s="16"/>
      <c r="I27" s="16">
        <f t="shared" si="1"/>
        <v>0</v>
      </c>
    </row>
    <row r="28" spans="2:9" s="7" customFormat="1" x14ac:dyDescent="0.35">
      <c r="B28" s="28">
        <v>1</v>
      </c>
      <c r="C28" s="28" t="s">
        <v>155</v>
      </c>
      <c r="D28" s="48"/>
      <c r="E28" s="107"/>
      <c r="F28" s="9"/>
      <c r="G28" s="153"/>
      <c r="H28" s="15">
        <f>H26+H27</f>
        <v>0</v>
      </c>
      <c r="I28" s="15">
        <f>I26+I27</f>
        <v>0</v>
      </c>
    </row>
    <row r="29" spans="2:9" s="7" customFormat="1" ht="4.5" customHeight="1" x14ac:dyDescent="0.35">
      <c r="D29" s="19"/>
      <c r="E29" s="19"/>
      <c r="F29" s="19"/>
      <c r="G29" s="154"/>
      <c r="H29" s="14"/>
      <c r="I29" s="14"/>
    </row>
    <row r="30" spans="2:9" s="7" customFormat="1" x14ac:dyDescent="0.35">
      <c r="B30" s="8" t="s">
        <v>16</v>
      </c>
      <c r="C30" s="9"/>
      <c r="D30" s="9"/>
      <c r="E30" s="9"/>
      <c r="F30" s="9"/>
      <c r="G30" s="155"/>
      <c r="H30" s="9"/>
      <c r="I30" s="67"/>
    </row>
    <row r="31" spans="2:9" x14ac:dyDescent="0.35">
      <c r="B31" s="31" t="s">
        <v>13</v>
      </c>
      <c r="C31" s="31" t="s">
        <v>14</v>
      </c>
      <c r="D31" s="63"/>
      <c r="E31" s="68" t="s">
        <v>17</v>
      </c>
      <c r="F31" s="63" t="s">
        <v>58</v>
      </c>
      <c r="G31" s="156" t="s">
        <v>21</v>
      </c>
      <c r="H31" s="63" t="s">
        <v>190</v>
      </c>
      <c r="I31" s="63" t="s">
        <v>191</v>
      </c>
    </row>
    <row r="32" spans="2:9" x14ac:dyDescent="0.35">
      <c r="B32" s="4"/>
      <c r="C32" s="35"/>
      <c r="D32" s="105"/>
      <c r="E32" s="33"/>
      <c r="F32" s="4"/>
      <c r="G32" s="157"/>
      <c r="H32" s="16">
        <f t="shared" ref="H32:H34" si="3">F32*G32</f>
        <v>0</v>
      </c>
      <c r="I32" s="16">
        <f t="shared" ref="I32:I34" si="4">IF($H$11&gt;0, H32/$H$11, 0)</f>
        <v>0</v>
      </c>
    </row>
    <row r="33" spans="2:12" x14ac:dyDescent="0.35">
      <c r="B33" s="4"/>
      <c r="C33" s="4"/>
      <c r="D33" s="33"/>
      <c r="E33" s="33"/>
      <c r="F33" s="4"/>
      <c r="G33" s="157"/>
      <c r="H33" s="16">
        <f t="shared" si="3"/>
        <v>0</v>
      </c>
      <c r="I33" s="16">
        <f t="shared" si="4"/>
        <v>0</v>
      </c>
    </row>
    <row r="34" spans="2:12" x14ac:dyDescent="0.35">
      <c r="B34" s="4"/>
      <c r="C34" s="4"/>
      <c r="D34" s="33"/>
      <c r="E34" s="33"/>
      <c r="F34" s="4"/>
      <c r="G34" s="157"/>
      <c r="H34" s="16">
        <f t="shared" si="3"/>
        <v>0</v>
      </c>
      <c r="I34" s="16">
        <f t="shared" si="4"/>
        <v>0</v>
      </c>
    </row>
    <row r="35" spans="2:12" x14ac:dyDescent="0.35">
      <c r="B35" s="28"/>
      <c r="C35" s="28" t="s">
        <v>195</v>
      </c>
      <c r="D35" s="29"/>
      <c r="E35" s="30"/>
      <c r="F35" s="30"/>
      <c r="G35" s="158">
        <f>IF(F35&gt;0, H35/F35, 0)</f>
        <v>0</v>
      </c>
      <c r="H35" s="15">
        <f>SUM(H30:H34)</f>
        <v>0</v>
      </c>
      <c r="I35" s="15">
        <f>SUM(I30:I34)</f>
        <v>0</v>
      </c>
    </row>
    <row r="36" spans="2:12" x14ac:dyDescent="0.35">
      <c r="B36" s="31" t="s">
        <v>158</v>
      </c>
      <c r="C36" s="31" t="s">
        <v>156</v>
      </c>
      <c r="D36" s="106" t="s">
        <v>153</v>
      </c>
      <c r="E36" s="105">
        <v>0.1</v>
      </c>
      <c r="F36" s="106" t="s">
        <v>154</v>
      </c>
      <c r="G36" s="152">
        <f>IF(H35&gt;0, (H36/H35), 0)</f>
        <v>0</v>
      </c>
      <c r="H36" s="16"/>
      <c r="I36" s="16">
        <f t="shared" ref="I36" si="5">IF($H$11&gt;0, H36/$H$11, 0)</f>
        <v>0</v>
      </c>
    </row>
    <row r="37" spans="2:12" s="7" customFormat="1" x14ac:dyDescent="0.35">
      <c r="B37" s="28">
        <v>2</v>
      </c>
      <c r="C37" s="28" t="s">
        <v>18</v>
      </c>
      <c r="D37" s="48"/>
      <c r="E37" s="107"/>
      <c r="F37" s="9"/>
      <c r="G37" s="153"/>
      <c r="H37" s="15">
        <f>H35+H36</f>
        <v>0</v>
      </c>
      <c r="I37" s="15">
        <f>I35+I36</f>
        <v>0</v>
      </c>
    </row>
    <row r="38" spans="2:12" s="7" customFormat="1" ht="4.5" customHeight="1" x14ac:dyDescent="0.35">
      <c r="G38" s="154"/>
      <c r="H38" s="14"/>
      <c r="I38" s="14"/>
    </row>
    <row r="39" spans="2:12" s="7" customFormat="1" x14ac:dyDescent="0.35">
      <c r="B39" s="8" t="s">
        <v>19</v>
      </c>
      <c r="C39" s="9"/>
      <c r="D39" s="9"/>
      <c r="E39" s="9"/>
      <c r="F39" s="9"/>
      <c r="G39" s="155"/>
      <c r="H39" s="9"/>
      <c r="I39" s="67"/>
    </row>
    <row r="40" spans="2:12" x14ac:dyDescent="0.35">
      <c r="B40" s="31" t="s">
        <v>13</v>
      </c>
      <c r="C40" s="31" t="s">
        <v>14</v>
      </c>
      <c r="D40" s="31" t="s">
        <v>72</v>
      </c>
      <c r="E40" s="63" t="s">
        <v>223</v>
      </c>
      <c r="F40" s="63" t="s">
        <v>22</v>
      </c>
      <c r="G40" s="156" t="s">
        <v>23</v>
      </c>
      <c r="H40" s="63" t="s">
        <v>190</v>
      </c>
      <c r="I40" s="63" t="s">
        <v>191</v>
      </c>
      <c r="L40" s="7"/>
    </row>
    <row r="41" spans="2:12" x14ac:dyDescent="0.35">
      <c r="B41" s="4" t="s">
        <v>34</v>
      </c>
      <c r="C41" s="4" t="s">
        <v>68</v>
      </c>
      <c r="D41" s="16" t="s">
        <v>73</v>
      </c>
      <c r="E41" s="16"/>
      <c r="F41" s="20"/>
      <c r="G41" s="157">
        <f>E41*F41</f>
        <v>0</v>
      </c>
      <c r="H41" s="16">
        <f>E41+G41</f>
        <v>0</v>
      </c>
      <c r="I41" s="16">
        <f t="shared" ref="I41:I44" si="6">IF($H$11&gt;0, H41/$H$11, 0)</f>
        <v>0</v>
      </c>
      <c r="L41" s="7"/>
    </row>
    <row r="42" spans="2:12" x14ac:dyDescent="0.35">
      <c r="B42" s="4" t="s">
        <v>35</v>
      </c>
      <c r="C42" s="4" t="s">
        <v>69</v>
      </c>
      <c r="D42" s="16" t="s">
        <v>74</v>
      </c>
      <c r="E42" s="16"/>
      <c r="F42" s="20"/>
      <c r="G42" s="157">
        <f>E42*F42</f>
        <v>0</v>
      </c>
      <c r="H42" s="16">
        <f>E42+G42</f>
        <v>0</v>
      </c>
      <c r="I42" s="16">
        <f t="shared" si="6"/>
        <v>0</v>
      </c>
      <c r="L42" s="7"/>
    </row>
    <row r="43" spans="2:12" x14ac:dyDescent="0.35">
      <c r="B43" s="4" t="s">
        <v>36</v>
      </c>
      <c r="C43" s="4" t="s">
        <v>147</v>
      </c>
      <c r="D43" s="16" t="s">
        <v>75</v>
      </c>
      <c r="E43" s="16"/>
      <c r="F43" s="20"/>
      <c r="G43" s="157">
        <f>E43*F43</f>
        <v>0</v>
      </c>
      <c r="H43" s="16">
        <f>E43+G43</f>
        <v>0</v>
      </c>
      <c r="I43" s="16">
        <f t="shared" si="6"/>
        <v>0</v>
      </c>
      <c r="L43" s="7"/>
    </row>
    <row r="44" spans="2:12" x14ac:dyDescent="0.35">
      <c r="B44" s="4" t="s">
        <v>37</v>
      </c>
      <c r="C44" s="4" t="s">
        <v>71</v>
      </c>
      <c r="D44" s="16" t="s">
        <v>76</v>
      </c>
      <c r="E44" s="16"/>
      <c r="F44" s="20"/>
      <c r="G44" s="157">
        <f>E44*F44</f>
        <v>0</v>
      </c>
      <c r="H44" s="16">
        <f>E44+G44</f>
        <v>0</v>
      </c>
      <c r="I44" s="16">
        <f t="shared" si="6"/>
        <v>0</v>
      </c>
      <c r="L44" s="7"/>
    </row>
    <row r="45" spans="2:12" x14ac:dyDescent="0.35">
      <c r="B45" s="28"/>
      <c r="C45" s="28" t="s">
        <v>196</v>
      </c>
      <c r="D45" s="29"/>
      <c r="E45" s="30">
        <f>SUM(E40:E44)</f>
        <v>0</v>
      </c>
      <c r="F45" s="30"/>
      <c r="G45" s="158">
        <f>SUM(G41:G44)</f>
        <v>0</v>
      </c>
      <c r="H45" s="15">
        <f>SUM(H40:H44)</f>
        <v>0</v>
      </c>
      <c r="I45" s="15">
        <f>SUM(I40:I44)</f>
        <v>0</v>
      </c>
    </row>
    <row r="46" spans="2:12" x14ac:dyDescent="0.35">
      <c r="B46" s="31" t="s">
        <v>160</v>
      </c>
      <c r="C46" s="31" t="s">
        <v>159</v>
      </c>
      <c r="D46" s="106" t="s">
        <v>153</v>
      </c>
      <c r="E46" s="105">
        <v>0.1</v>
      </c>
      <c r="F46" s="106" t="s">
        <v>154</v>
      </c>
      <c r="G46" s="152">
        <f>IF(H45&gt;0, (H46/H45), 0)</f>
        <v>0</v>
      </c>
      <c r="H46" s="16"/>
      <c r="I46" s="16">
        <f t="shared" ref="I46" si="7">IF($H$11&gt;0, H46/$H$11, 0)</f>
        <v>0</v>
      </c>
    </row>
    <row r="47" spans="2:12" s="7" customFormat="1" x14ac:dyDescent="0.35">
      <c r="B47" s="28">
        <v>3</v>
      </c>
      <c r="C47" s="28" t="s">
        <v>24</v>
      </c>
      <c r="D47" s="48"/>
      <c r="E47" s="107"/>
      <c r="F47" s="9"/>
      <c r="G47" s="108"/>
      <c r="H47" s="15">
        <f>H45+H46</f>
        <v>0</v>
      </c>
      <c r="I47" s="15">
        <f>I45+I46</f>
        <v>0</v>
      </c>
    </row>
    <row r="48" spans="2:12" ht="4.5" customHeight="1" x14ac:dyDescent="0.35">
      <c r="L48" s="7"/>
    </row>
    <row r="49" spans="2:12" s="7" customFormat="1" ht="20.5" customHeight="1" x14ac:dyDescent="0.35">
      <c r="B49" s="8">
        <v>4</v>
      </c>
      <c r="C49" s="9" t="s">
        <v>25</v>
      </c>
      <c r="D49" s="9"/>
      <c r="E49" s="9"/>
      <c r="F49" s="9"/>
      <c r="G49" s="13"/>
      <c r="H49" s="15">
        <f>H28+H37+H47</f>
        <v>0</v>
      </c>
      <c r="I49" s="15">
        <f>I28+I37+I47</f>
        <v>0</v>
      </c>
    </row>
    <row r="50" spans="2:12" ht="4.5" customHeight="1" x14ac:dyDescent="0.35">
      <c r="L50" s="7"/>
    </row>
    <row r="51" spans="2:12" s="7" customFormat="1" x14ac:dyDescent="0.35">
      <c r="B51" s="90">
        <v>5</v>
      </c>
      <c r="C51" s="21" t="s">
        <v>87</v>
      </c>
      <c r="D51" s="63" t="s">
        <v>226</v>
      </c>
      <c r="E51" s="39">
        <f>H49</f>
        <v>0</v>
      </c>
      <c r="F51" s="104"/>
      <c r="G51" s="28"/>
      <c r="H51" s="15">
        <f>H49*F51</f>
        <v>0</v>
      </c>
      <c r="I51" s="15">
        <f t="shared" ref="I51:I53" si="8">IF($H$11&gt;0, H51/$H$11, 0)</f>
        <v>0</v>
      </c>
    </row>
    <row r="52" spans="2:12" s="7" customFormat="1" x14ac:dyDescent="0.35">
      <c r="B52" s="90">
        <v>6</v>
      </c>
      <c r="C52" s="21" t="s">
        <v>78</v>
      </c>
      <c r="D52" s="16" t="s">
        <v>77</v>
      </c>
      <c r="E52" s="39"/>
      <c r="F52" s="92"/>
      <c r="G52" s="28"/>
      <c r="H52" s="15">
        <f>E52</f>
        <v>0</v>
      </c>
      <c r="I52" s="15">
        <f t="shared" si="8"/>
        <v>0</v>
      </c>
    </row>
    <row r="53" spans="2:12" s="7" customFormat="1" x14ac:dyDescent="0.35">
      <c r="B53" s="90">
        <v>7</v>
      </c>
      <c r="C53" s="21" t="s">
        <v>79</v>
      </c>
      <c r="D53" s="16" t="s">
        <v>81</v>
      </c>
      <c r="E53" s="39">
        <f>ExF!I22</f>
        <v>0</v>
      </c>
      <c r="F53" s="136">
        <f>IF(H53&gt;0, H53/(H49+H51+H52), 0)</f>
        <v>0</v>
      </c>
      <c r="G53" s="28"/>
      <c r="H53" s="15">
        <f>E53</f>
        <v>0</v>
      </c>
      <c r="I53" s="15">
        <f t="shared" si="8"/>
        <v>0</v>
      </c>
    </row>
    <row r="54" spans="2:12" ht="4.5" customHeight="1" x14ac:dyDescent="0.35">
      <c r="L54" s="7"/>
    </row>
    <row r="55" spans="2:12" s="7" customFormat="1" ht="20.149999999999999" customHeight="1" x14ac:dyDescent="0.35">
      <c r="B55" s="8">
        <v>8</v>
      </c>
      <c r="C55" s="9" t="s">
        <v>27</v>
      </c>
      <c r="D55" s="9"/>
      <c r="E55" s="9"/>
      <c r="F55" s="9"/>
      <c r="G55" s="44">
        <f>D11</f>
        <v>0</v>
      </c>
      <c r="H55" s="15">
        <f>H49+SUM(H51:H53)</f>
        <v>0</v>
      </c>
      <c r="I55" s="15">
        <f>I49+SUM(I51:I53)</f>
        <v>0</v>
      </c>
    </row>
    <row r="56" spans="2:12" s="7" customFormat="1" ht="10" customHeight="1" x14ac:dyDescent="0.35">
      <c r="H56" s="14"/>
      <c r="I56" s="14"/>
    </row>
    <row r="57" spans="2:12" ht="20.5" customHeight="1" x14ac:dyDescent="0.35">
      <c r="B57" s="8" t="s">
        <v>142</v>
      </c>
      <c r="C57" s="9"/>
      <c r="D57" s="9"/>
      <c r="E57" s="9"/>
      <c r="F57" s="109"/>
      <c r="G57" s="9"/>
      <c r="H57" s="9"/>
      <c r="I57" s="15">
        <f>SUM(I58:I60)</f>
        <v>0</v>
      </c>
    </row>
    <row r="58" spans="2:12" x14ac:dyDescent="0.35">
      <c r="B58" s="31"/>
      <c r="C58" s="4" t="s">
        <v>112</v>
      </c>
      <c r="D58" s="16" t="s">
        <v>80</v>
      </c>
      <c r="E58" s="9"/>
      <c r="F58" s="109"/>
      <c r="G58" s="9"/>
      <c r="H58" s="108"/>
      <c r="I58" s="16">
        <f>ExG!L19</f>
        <v>0</v>
      </c>
    </row>
    <row r="59" spans="2:12" x14ac:dyDescent="0.35">
      <c r="B59" s="31"/>
      <c r="C59" s="4" t="s">
        <v>113</v>
      </c>
      <c r="D59" s="16" t="s">
        <v>80</v>
      </c>
      <c r="E59" s="9"/>
      <c r="F59" s="109"/>
      <c r="G59" s="9"/>
      <c r="H59" s="108"/>
      <c r="I59" s="16">
        <f>ExG!L27</f>
        <v>0</v>
      </c>
    </row>
    <row r="60" spans="2:12" x14ac:dyDescent="0.35">
      <c r="B60" s="31"/>
      <c r="C60" s="4" t="s">
        <v>114</v>
      </c>
      <c r="D60" s="16" t="s">
        <v>80</v>
      </c>
      <c r="E60" s="9"/>
      <c r="F60" s="109"/>
      <c r="G60" s="9"/>
      <c r="H60" s="108"/>
      <c r="I60" s="16">
        <f>ExG!L44</f>
        <v>0</v>
      </c>
    </row>
    <row r="61" spans="2:12" ht="10" customHeight="1" x14ac:dyDescent="0.35"/>
    <row r="62" spans="2:12" ht="17.5" customHeight="1" x14ac:dyDescent="0.35">
      <c r="B62" s="8" t="s">
        <v>141</v>
      </c>
      <c r="C62" s="9"/>
      <c r="D62" s="9"/>
      <c r="E62" s="9"/>
      <c r="F62" s="9"/>
      <c r="G62" s="9"/>
      <c r="H62" s="9"/>
      <c r="I62" s="67"/>
    </row>
    <row r="63" spans="2:12" s="7" customFormat="1" ht="15" customHeight="1" x14ac:dyDescent="0.35">
      <c r="B63" s="8" t="s">
        <v>128</v>
      </c>
      <c r="C63" s="9" t="s">
        <v>60</v>
      </c>
      <c r="D63" s="157" t="s">
        <v>77</v>
      </c>
      <c r="E63" s="150" t="s">
        <v>229</v>
      </c>
      <c r="F63" s="151">
        <f>IF(I63&gt;0, I63/(I49+I52+I53+I57), 0)</f>
        <v>0</v>
      </c>
      <c r="G63" s="43" t="s">
        <v>88</v>
      </c>
      <c r="H63" s="91"/>
      <c r="I63" s="15">
        <f t="shared" ref="I63" si="9">IF($H$11&gt;0, H63/$H$11, 0)</f>
        <v>0</v>
      </c>
    </row>
    <row r="64" spans="2:12" ht="15" customHeight="1" x14ac:dyDescent="0.35">
      <c r="B64" s="8" t="s">
        <v>129</v>
      </c>
      <c r="C64" s="9" t="s">
        <v>59</v>
      </c>
      <c r="D64" s="16" t="s">
        <v>80</v>
      </c>
      <c r="E64" s="9"/>
      <c r="F64" s="109"/>
      <c r="G64" s="43" t="s">
        <v>88</v>
      </c>
      <c r="H64" s="15"/>
      <c r="I64" s="15">
        <f>ExG!J51</f>
        <v>0</v>
      </c>
    </row>
    <row r="65" spans="2:9" ht="10.5" customHeight="1" x14ac:dyDescent="0.35">
      <c r="H65" s="17"/>
      <c r="I65" s="17"/>
    </row>
    <row r="66" spans="2:9" s="7" customFormat="1" ht="22.5" customHeight="1" x14ac:dyDescent="0.35">
      <c r="B66" s="8">
        <v>10</v>
      </c>
      <c r="C66" s="9" t="s">
        <v>197</v>
      </c>
      <c r="D66" s="9"/>
      <c r="E66" s="9"/>
      <c r="F66" s="9"/>
      <c r="G66" s="13"/>
      <c r="H66" s="9"/>
      <c r="I66" s="15">
        <f>I55+I57+I63+I64</f>
        <v>0</v>
      </c>
    </row>
    <row r="68" spans="2:9" x14ac:dyDescent="0.35">
      <c r="B68" s="3" t="s">
        <v>255</v>
      </c>
      <c r="H68" s="141" t="s">
        <v>218</v>
      </c>
      <c r="I68" s="7"/>
    </row>
    <row r="69" spans="2:9" x14ac:dyDescent="0.35">
      <c r="H69" s="31" t="s">
        <v>90</v>
      </c>
      <c r="I69" s="91"/>
    </row>
    <row r="70" spans="2:9" x14ac:dyDescent="0.35">
      <c r="H70" s="31" t="s">
        <v>92</v>
      </c>
      <c r="I70" s="91"/>
    </row>
    <row r="71" spans="2:9" x14ac:dyDescent="0.35">
      <c r="H71" s="31" t="s">
        <v>219</v>
      </c>
      <c r="I71" s="91"/>
    </row>
    <row r="72" spans="2:9" x14ac:dyDescent="0.35">
      <c r="H72" s="31" t="s">
        <v>88</v>
      </c>
      <c r="I72" s="91"/>
    </row>
  </sheetData>
  <mergeCells count="1">
    <mergeCell ref="D13:F13"/>
  </mergeCells>
  <dataValidations count="2">
    <dataValidation type="decimal" allowBlank="1" showInputMessage="1" showErrorMessage="1" sqref="E36 E27 E46" xr:uid="{82742055-55FC-4BE2-92AB-4E0122EAE4DC}">
      <formula1>0.1</formula1>
      <formula2>1</formula2>
    </dataValidation>
    <dataValidation type="list" allowBlank="1" showInputMessage="1" showErrorMessage="1" sqref="D11" xr:uid="{70D265E7-1EFD-4DC2-9338-13353B1D2EAB}">
      <formula1>ptype</formula1>
    </dataValidation>
  </dataValidations>
  <pageMargins left="0.7" right="0.7" top="1.1811023622047201" bottom="0.75" header="0.3" footer="0.3"/>
  <pageSetup paperSize="9" orientation="portrait" r:id="rId1"/>
  <headerFooter scaleWithDoc="0">
    <oddHeader>&amp;L&amp;"Arial,Regular"&amp;9ESA UNCLASSIFIED - For ESA Official Use Only&amp;R&amp;G</oddHeader>
    <oddFooter>&amp;L&amp;"Arial,Regular"&amp;9Page &amp;P / &amp;N
ESA STANDARD PRICE BREAKDOWN FORMS
Issue/Revision: 6.0&amp;R&amp;G</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7D98E-AB5F-423E-8494-956A1B165225}">
  <dimension ref="B2:M70"/>
  <sheetViews>
    <sheetView topLeftCell="A22" zoomScale="80" zoomScaleNormal="80" workbookViewId="0">
      <selection activeCell="H69" sqref="H69"/>
    </sheetView>
  </sheetViews>
  <sheetFormatPr defaultColWidth="8.6328125" defaultRowHeight="14.5" x14ac:dyDescent="0.35"/>
  <cols>
    <col min="1" max="1" width="2.81640625" style="3" customWidth="1"/>
    <col min="2" max="2" width="14.453125" style="3" customWidth="1"/>
    <col min="3" max="3" width="40.1796875" style="3" customWidth="1"/>
    <col min="4" max="4" width="19" style="3" customWidth="1"/>
    <col min="5" max="9" width="18.453125" style="3" customWidth="1"/>
    <col min="10" max="10" width="17.81640625" style="3" customWidth="1"/>
    <col min="11" max="11" width="23.81640625" style="3" bestFit="1" customWidth="1"/>
    <col min="12" max="13" width="18.08984375" style="3" customWidth="1"/>
    <col min="14" max="14" width="3.26953125" style="3" customWidth="1"/>
    <col min="15" max="16384" width="8.6328125" style="3"/>
  </cols>
  <sheetData>
    <row r="2" spans="2:13" ht="40" customHeight="1" x14ac:dyDescent="0.35">
      <c r="B2" s="10" t="s">
        <v>15</v>
      </c>
      <c r="C2" s="21" t="s">
        <v>61</v>
      </c>
      <c r="D2" s="21"/>
      <c r="E2" s="21"/>
      <c r="F2" s="21"/>
      <c r="G2" s="21"/>
      <c r="H2" s="21"/>
      <c r="I2" s="21"/>
      <c r="J2" s="21"/>
      <c r="K2" s="21"/>
      <c r="L2" s="36" t="s">
        <v>211</v>
      </c>
      <c r="M2" s="2" t="str">
        <f>'PBF1'!I2</f>
        <v>(date)</v>
      </c>
    </row>
    <row r="3" spans="2:13" ht="7" customHeight="1" x14ac:dyDescent="0.35">
      <c r="B3" s="11"/>
      <c r="C3" s="11"/>
      <c r="D3" s="11"/>
      <c r="E3" s="11"/>
      <c r="F3" s="11"/>
      <c r="G3" s="11"/>
      <c r="H3" s="11"/>
      <c r="I3" s="11"/>
      <c r="J3" s="11"/>
      <c r="K3" s="11"/>
      <c r="L3" s="11"/>
      <c r="M3" s="11"/>
    </row>
    <row r="4" spans="2:13" ht="7" customHeight="1" x14ac:dyDescent="0.35">
      <c r="B4" s="12"/>
      <c r="C4" s="12"/>
      <c r="D4" s="12"/>
      <c r="E4" s="12"/>
      <c r="F4" s="12"/>
      <c r="G4" s="12"/>
      <c r="H4" s="12"/>
      <c r="I4" s="12"/>
      <c r="J4" s="12"/>
      <c r="K4" s="12"/>
      <c r="L4" s="12"/>
      <c r="M4" s="12"/>
    </row>
    <row r="5" spans="2:13" x14ac:dyDescent="0.35">
      <c r="C5" s="31" t="s">
        <v>0</v>
      </c>
      <c r="D5" s="4">
        <f>'PBF1'!D5</f>
        <v>0</v>
      </c>
      <c r="K5" s="31" t="s">
        <v>123</v>
      </c>
      <c r="L5" s="35" t="str">
        <f>'PBF1'!H5</f>
        <v>name</v>
      </c>
      <c r="M5" s="35" t="str">
        <f>'PBF1'!I5</f>
        <v>country</v>
      </c>
    </row>
    <row r="6" spans="2:13" x14ac:dyDescent="0.35">
      <c r="C6" s="31" t="s">
        <v>32</v>
      </c>
      <c r="D6" s="4">
        <f>'PBF1'!D6</f>
        <v>0</v>
      </c>
      <c r="K6" s="31" t="s">
        <v>33</v>
      </c>
      <c r="L6" s="35" t="str">
        <f>'PBF1'!H6</f>
        <v>LE</v>
      </c>
      <c r="M6" s="35" t="str">
        <f>'PBF1'!I6</f>
        <v>BU</v>
      </c>
    </row>
    <row r="7" spans="2:13" x14ac:dyDescent="0.35">
      <c r="K7" s="31" t="s">
        <v>126</v>
      </c>
      <c r="L7" s="35">
        <f>'PBF1'!H7</f>
        <v>0</v>
      </c>
      <c r="M7" s="35">
        <f>'PBF1'!I7</f>
        <v>0</v>
      </c>
    </row>
    <row r="9" spans="2:13" x14ac:dyDescent="0.35">
      <c r="C9" s="31" t="s">
        <v>221</v>
      </c>
      <c r="D9" s="168">
        <f>'PBF1'!D10</f>
        <v>0</v>
      </c>
      <c r="E9" s="148" t="s">
        <v>209</v>
      </c>
    </row>
    <row r="10" spans="2:13" x14ac:dyDescent="0.35">
      <c r="C10" s="31" t="s">
        <v>3</v>
      </c>
      <c r="D10" s="4">
        <f>'PBF1'!D11</f>
        <v>0</v>
      </c>
      <c r="E10" s="148" t="e">
        <f>_xlfn.XLOOKUP(D10, ptype, ptypet)</f>
        <v>#N/A</v>
      </c>
      <c r="K10" s="31" t="s">
        <v>4</v>
      </c>
      <c r="L10" s="35" t="str">
        <f>'PBF1'!H10</f>
        <v>EUR</v>
      </c>
      <c r="M10" s="35">
        <f>'PBF1'!I10</f>
        <v>0</v>
      </c>
    </row>
    <row r="11" spans="2:13" x14ac:dyDescent="0.35">
      <c r="K11" s="31" t="s">
        <v>5</v>
      </c>
      <c r="L11" s="35">
        <f>'PBF1'!H11</f>
        <v>1</v>
      </c>
      <c r="M11" s="89" t="str">
        <f>IF(L10="", "EUR", L10)</f>
        <v>EUR</v>
      </c>
    </row>
    <row r="12" spans="2:13" x14ac:dyDescent="0.35">
      <c r="C12" s="3" t="s">
        <v>11</v>
      </c>
    </row>
    <row r="13" spans="2:13" x14ac:dyDescent="0.35">
      <c r="B13" s="23"/>
      <c r="C13" s="31" t="s">
        <v>217</v>
      </c>
      <c r="D13" s="179">
        <f>'PBF1'!D13</f>
        <v>0</v>
      </c>
      <c r="E13" s="180"/>
      <c r="F13" s="180"/>
      <c r="L13" s="31" t="s">
        <v>6</v>
      </c>
      <c r="M13" s="169">
        <f>'PBF1'!I13</f>
        <v>0</v>
      </c>
    </row>
    <row r="14" spans="2:13" ht="7.5" customHeight="1" x14ac:dyDescent="0.35">
      <c r="B14" s="22"/>
      <c r="C14" s="11"/>
      <c r="D14" s="11"/>
      <c r="E14" s="11"/>
      <c r="F14" s="11"/>
      <c r="G14" s="11"/>
      <c r="H14" s="11"/>
      <c r="I14" s="11"/>
      <c r="J14" s="11"/>
      <c r="K14" s="11"/>
      <c r="L14" s="11"/>
      <c r="M14" s="11"/>
    </row>
    <row r="15" spans="2:13" ht="7.5" customHeight="1" x14ac:dyDescent="0.35">
      <c r="B15" s="12"/>
      <c r="C15" s="12"/>
      <c r="D15" s="12"/>
      <c r="E15" s="12"/>
      <c r="F15" s="12"/>
      <c r="G15" s="12"/>
      <c r="H15" s="12"/>
      <c r="I15" s="12"/>
      <c r="J15" s="12"/>
      <c r="K15" s="12"/>
      <c r="L15" s="12"/>
      <c r="M15" s="12"/>
    </row>
    <row r="16" spans="2:13" x14ac:dyDescent="0.35">
      <c r="B16" s="3" t="s">
        <v>127</v>
      </c>
      <c r="C16" s="88" t="s">
        <v>62</v>
      </c>
      <c r="D16" s="35"/>
      <c r="E16" s="35"/>
      <c r="F16" s="35"/>
      <c r="G16" s="35"/>
      <c r="H16" s="35"/>
      <c r="I16" s="35"/>
      <c r="J16" s="35"/>
    </row>
    <row r="17" spans="2:13" x14ac:dyDescent="0.35">
      <c r="C17" s="88" t="s">
        <v>63</v>
      </c>
      <c r="D17" s="35"/>
      <c r="E17" s="35"/>
      <c r="F17" s="35"/>
      <c r="G17" s="35"/>
      <c r="H17" s="35"/>
      <c r="I17" s="35"/>
      <c r="J17" s="35"/>
    </row>
    <row r="18" spans="2:13" x14ac:dyDescent="0.35">
      <c r="C18" s="88" t="s">
        <v>64</v>
      </c>
      <c r="D18" s="32"/>
      <c r="E18" s="32"/>
      <c r="F18" s="32"/>
      <c r="G18" s="32"/>
      <c r="H18" s="32"/>
      <c r="I18" s="32"/>
      <c r="J18" s="32"/>
    </row>
    <row r="19" spans="2:13" x14ac:dyDescent="0.35">
      <c r="C19" s="88" t="s">
        <v>65</v>
      </c>
      <c r="D19" s="32"/>
      <c r="E19" s="32"/>
      <c r="F19" s="32"/>
      <c r="G19" s="32"/>
      <c r="H19" s="32"/>
      <c r="I19" s="32"/>
      <c r="J19" s="32"/>
    </row>
    <row r="20" spans="2:13" ht="4.5" customHeight="1" thickBot="1" x14ac:dyDescent="0.4">
      <c r="D20" s="60"/>
      <c r="E20" s="60"/>
      <c r="F20" s="60"/>
      <c r="G20" s="60"/>
      <c r="H20" s="60"/>
      <c r="I20" s="60"/>
      <c r="J20" s="60"/>
      <c r="K20" s="17"/>
    </row>
    <row r="21" spans="2:13" x14ac:dyDescent="0.35">
      <c r="K21" s="123" t="s">
        <v>124</v>
      </c>
      <c r="L21" s="50" t="s">
        <v>188</v>
      </c>
      <c r="M21" s="51" t="s">
        <v>189</v>
      </c>
    </row>
    <row r="22" spans="2:13" s="7" customFormat="1" x14ac:dyDescent="0.35">
      <c r="B22" s="8" t="s">
        <v>12</v>
      </c>
      <c r="C22" s="9"/>
      <c r="D22" s="9"/>
      <c r="E22" s="9"/>
      <c r="F22" s="9"/>
      <c r="G22" s="9"/>
      <c r="H22" s="9"/>
      <c r="I22" s="9"/>
      <c r="J22" s="9"/>
      <c r="K22" s="124"/>
      <c r="L22" s="61"/>
      <c r="M22" s="62"/>
    </row>
    <row r="23" spans="2:13" x14ac:dyDescent="0.35">
      <c r="B23" s="31" t="s">
        <v>13</v>
      </c>
      <c r="C23" s="31" t="s">
        <v>14</v>
      </c>
      <c r="D23" s="63"/>
      <c r="E23" s="63"/>
      <c r="F23" s="63"/>
      <c r="G23" s="63"/>
      <c r="H23" s="63"/>
      <c r="I23" s="63"/>
      <c r="J23" s="64"/>
      <c r="K23" s="125"/>
      <c r="L23" s="65"/>
      <c r="M23" s="66"/>
    </row>
    <row r="24" spans="2:13" x14ac:dyDescent="0.35">
      <c r="B24" s="4"/>
      <c r="C24" s="4"/>
      <c r="D24" s="18"/>
      <c r="E24" s="18"/>
      <c r="F24" s="18"/>
      <c r="G24" s="18"/>
      <c r="H24" s="18"/>
      <c r="I24" s="18"/>
      <c r="J24" s="121"/>
      <c r="K24" s="133"/>
      <c r="L24" s="52">
        <f>SUM(D24:K24)</f>
        <v>0</v>
      </c>
      <c r="M24" s="53">
        <f t="shared" ref="M24:M26" si="0">IF($L$11&gt;0, L24/$L$11, 0)</f>
        <v>0</v>
      </c>
    </row>
    <row r="25" spans="2:13" x14ac:dyDescent="0.35">
      <c r="B25" s="4"/>
      <c r="C25" s="4"/>
      <c r="D25" s="18"/>
      <c r="E25" s="18"/>
      <c r="F25" s="18"/>
      <c r="G25" s="18"/>
      <c r="H25" s="18"/>
      <c r="I25" s="18"/>
      <c r="J25" s="121"/>
      <c r="K25" s="133"/>
      <c r="L25" s="52">
        <f t="shared" ref="L25:L28" si="1">SUM(D25:K25)</f>
        <v>0</v>
      </c>
      <c r="M25" s="53">
        <f>IF($L$11&gt;0, L25/$L$11, 0)</f>
        <v>0</v>
      </c>
    </row>
    <row r="26" spans="2:13" x14ac:dyDescent="0.35">
      <c r="B26" s="4"/>
      <c r="C26" s="4"/>
      <c r="D26" s="18"/>
      <c r="E26" s="18"/>
      <c r="F26" s="18"/>
      <c r="G26" s="18"/>
      <c r="H26" s="18"/>
      <c r="I26" s="18"/>
      <c r="J26" s="121"/>
      <c r="K26" s="133"/>
      <c r="L26" s="52">
        <f t="shared" si="1"/>
        <v>0</v>
      </c>
      <c r="M26" s="53">
        <f t="shared" si="0"/>
        <v>0</v>
      </c>
    </row>
    <row r="27" spans="2:13" x14ac:dyDescent="0.35">
      <c r="B27" s="4"/>
      <c r="C27" s="4"/>
      <c r="D27" s="18"/>
      <c r="E27" s="18"/>
      <c r="F27" s="18"/>
      <c r="G27" s="18"/>
      <c r="H27" s="18"/>
      <c r="I27" s="18"/>
      <c r="J27" s="121"/>
      <c r="K27" s="133"/>
      <c r="L27" s="52">
        <f t="shared" si="1"/>
        <v>0</v>
      </c>
      <c r="M27" s="53">
        <f>IF($L$11&gt;0, L27/$L$11, 0)</f>
        <v>0</v>
      </c>
    </row>
    <row r="28" spans="2:13" x14ac:dyDescent="0.35">
      <c r="B28" s="4"/>
      <c r="C28" s="4"/>
      <c r="D28" s="18"/>
      <c r="E28" s="18"/>
      <c r="F28" s="18"/>
      <c r="G28" s="18"/>
      <c r="H28" s="18"/>
      <c r="I28" s="18"/>
      <c r="J28" s="121"/>
      <c r="K28" s="133"/>
      <c r="L28" s="52">
        <f t="shared" si="1"/>
        <v>0</v>
      </c>
      <c r="M28" s="53">
        <f t="shared" ref="M28" si="2">IF($L$11&gt;0, L28/$L$11, 0)</f>
        <v>0</v>
      </c>
    </row>
    <row r="29" spans="2:13" x14ac:dyDescent="0.35">
      <c r="B29" s="31"/>
      <c r="C29" s="28" t="s">
        <v>171</v>
      </c>
      <c r="D29" s="86">
        <f>SUM(D24:D28)</f>
        <v>0</v>
      </c>
      <c r="E29" s="86">
        <f t="shared" ref="E29:J29" si="3">SUM(E24:E28)</f>
        <v>0</v>
      </c>
      <c r="F29" s="86">
        <f t="shared" si="3"/>
        <v>0</v>
      </c>
      <c r="G29" s="86">
        <f t="shared" si="3"/>
        <v>0</v>
      </c>
      <c r="H29" s="86">
        <f t="shared" si="3"/>
        <v>0</v>
      </c>
      <c r="I29" s="86">
        <f t="shared" si="3"/>
        <v>0</v>
      </c>
      <c r="J29" s="87">
        <f t="shared" si="3"/>
        <v>0</v>
      </c>
      <c r="K29" s="126"/>
      <c r="L29" s="84"/>
      <c r="M29" s="85"/>
    </row>
    <row r="30" spans="2:13" x14ac:dyDescent="0.35">
      <c r="B30" s="31"/>
      <c r="C30" s="28" t="s">
        <v>170</v>
      </c>
      <c r="D30" s="18"/>
      <c r="E30" s="18"/>
      <c r="F30" s="18"/>
      <c r="G30" s="18"/>
      <c r="H30" s="18"/>
      <c r="I30" s="18"/>
      <c r="J30" s="121"/>
      <c r="K30" s="133"/>
      <c r="L30" s="84">
        <f>SUM(L24:L28)</f>
        <v>0</v>
      </c>
      <c r="M30" s="85">
        <f>SUM(M24:M28)</f>
        <v>0</v>
      </c>
    </row>
    <row r="31" spans="2:13" x14ac:dyDescent="0.35">
      <c r="B31" s="31"/>
      <c r="C31" s="28" t="s">
        <v>172</v>
      </c>
      <c r="D31" s="18"/>
      <c r="E31" s="18"/>
      <c r="F31" s="18"/>
      <c r="G31" s="18"/>
      <c r="H31" s="18"/>
      <c r="I31" s="18"/>
      <c r="J31" s="121"/>
      <c r="K31" s="133"/>
      <c r="L31" s="84">
        <f>SUM(L25:L29)</f>
        <v>0</v>
      </c>
      <c r="M31" s="85">
        <f>SUM(M25:M29)</f>
        <v>0</v>
      </c>
    </row>
    <row r="32" spans="2:13" s="7" customFormat="1" x14ac:dyDescent="0.35">
      <c r="B32" s="28">
        <v>1</v>
      </c>
      <c r="C32" s="28" t="s">
        <v>155</v>
      </c>
      <c r="D32" s="15">
        <f>SUM(D30:D31)</f>
        <v>0</v>
      </c>
      <c r="E32" s="15">
        <f t="shared" ref="E32:J32" si="4">SUM(E30:E31)</f>
        <v>0</v>
      </c>
      <c r="F32" s="15">
        <f t="shared" si="4"/>
        <v>0</v>
      </c>
      <c r="G32" s="15">
        <f t="shared" si="4"/>
        <v>0</v>
      </c>
      <c r="H32" s="15">
        <f t="shared" si="4"/>
        <v>0</v>
      </c>
      <c r="I32" s="15">
        <f t="shared" si="4"/>
        <v>0</v>
      </c>
      <c r="J32" s="48">
        <f t="shared" si="4"/>
        <v>0</v>
      </c>
      <c r="K32" s="127"/>
      <c r="L32" s="54">
        <f t="shared" ref="L32:M32" si="5">SUM(L24:L28)</f>
        <v>0</v>
      </c>
      <c r="M32" s="55">
        <f t="shared" si="5"/>
        <v>0</v>
      </c>
    </row>
    <row r="33" spans="2:13" s="7" customFormat="1" ht="4.5" customHeight="1" x14ac:dyDescent="0.35">
      <c r="D33" s="19"/>
      <c r="E33" s="19"/>
      <c r="F33" s="19"/>
      <c r="G33" s="19"/>
      <c r="H33" s="19"/>
      <c r="I33" s="19"/>
      <c r="J33" s="19"/>
      <c r="K33" s="128"/>
      <c r="L33" s="56"/>
      <c r="M33" s="57"/>
    </row>
    <row r="34" spans="2:13" s="7" customFormat="1" x14ac:dyDescent="0.35">
      <c r="B34" s="8" t="s">
        <v>16</v>
      </c>
      <c r="C34" s="9"/>
      <c r="D34" s="9"/>
      <c r="E34" s="9"/>
      <c r="F34" s="9"/>
      <c r="G34" s="9"/>
      <c r="H34" s="9"/>
      <c r="I34" s="9"/>
      <c r="J34" s="9"/>
      <c r="K34" s="124"/>
      <c r="L34" s="61"/>
      <c r="M34" s="62"/>
    </row>
    <row r="35" spans="2:13" x14ac:dyDescent="0.35">
      <c r="B35" s="31" t="s">
        <v>13</v>
      </c>
      <c r="C35" s="31" t="s">
        <v>14</v>
      </c>
      <c r="D35" s="63"/>
      <c r="E35" s="63"/>
      <c r="F35" s="63"/>
      <c r="G35" s="63"/>
      <c r="H35" s="63"/>
      <c r="I35" s="63"/>
      <c r="J35" s="64"/>
      <c r="K35" s="125"/>
      <c r="L35" s="93"/>
      <c r="M35" s="94"/>
    </row>
    <row r="36" spans="2:13" x14ac:dyDescent="0.35">
      <c r="B36" s="4"/>
      <c r="C36" s="4"/>
      <c r="D36" s="4"/>
      <c r="E36" s="4"/>
      <c r="F36" s="4"/>
      <c r="G36" s="4"/>
      <c r="H36" s="4"/>
      <c r="I36" s="4"/>
      <c r="J36" s="1"/>
      <c r="K36" s="133"/>
      <c r="L36" s="52">
        <f t="shared" ref="L36:L38" si="6">SUM(D36:K36)</f>
        <v>0</v>
      </c>
      <c r="M36" s="53">
        <f t="shared" ref="M36:M38" si="7">IF($L$11&gt;0, L36/$L$11, 0)</f>
        <v>0</v>
      </c>
    </row>
    <row r="37" spans="2:13" x14ac:dyDescent="0.35">
      <c r="B37" s="4"/>
      <c r="C37" s="4"/>
      <c r="D37" s="4"/>
      <c r="E37" s="4"/>
      <c r="F37" s="4"/>
      <c r="G37" s="4"/>
      <c r="H37" s="4"/>
      <c r="I37" s="4"/>
      <c r="J37" s="1"/>
      <c r="K37" s="133"/>
      <c r="L37" s="52">
        <f t="shared" si="6"/>
        <v>0</v>
      </c>
      <c r="M37" s="53">
        <f t="shared" si="7"/>
        <v>0</v>
      </c>
    </row>
    <row r="38" spans="2:13" x14ac:dyDescent="0.35">
      <c r="B38" s="4"/>
      <c r="C38" s="4"/>
      <c r="D38" s="4"/>
      <c r="E38" s="4"/>
      <c r="F38" s="4"/>
      <c r="G38" s="4"/>
      <c r="H38" s="4"/>
      <c r="I38" s="4"/>
      <c r="J38" s="1"/>
      <c r="K38" s="133"/>
      <c r="L38" s="52">
        <f t="shared" si="6"/>
        <v>0</v>
      </c>
      <c r="M38" s="53">
        <f t="shared" si="7"/>
        <v>0</v>
      </c>
    </row>
    <row r="39" spans="2:13" x14ac:dyDescent="0.35">
      <c r="B39" s="31"/>
      <c r="C39" s="28" t="s">
        <v>175</v>
      </c>
      <c r="D39" s="86"/>
      <c r="E39" s="86"/>
      <c r="F39" s="86"/>
      <c r="G39" s="86"/>
      <c r="H39" s="86"/>
      <c r="I39" s="86"/>
      <c r="J39" s="87"/>
      <c r="K39" s="126"/>
      <c r="L39" s="84">
        <f>SUM(L35:L38)</f>
        <v>0</v>
      </c>
      <c r="M39" s="85">
        <f>SUM(M35:M38)</f>
        <v>0</v>
      </c>
    </row>
    <row r="40" spans="2:13" x14ac:dyDescent="0.35">
      <c r="B40" s="31"/>
      <c r="C40" s="28" t="s">
        <v>174</v>
      </c>
      <c r="D40" s="18"/>
      <c r="E40" s="18"/>
      <c r="F40" s="18"/>
      <c r="G40" s="18"/>
      <c r="H40" s="18"/>
      <c r="I40" s="18"/>
      <c r="J40" s="121"/>
      <c r="K40" s="133"/>
      <c r="L40" s="84">
        <f>SUM(L36:L39)</f>
        <v>0</v>
      </c>
      <c r="M40" s="85">
        <f>SUM(M36:M39)</f>
        <v>0</v>
      </c>
    </row>
    <row r="41" spans="2:13" s="7" customFormat="1" x14ac:dyDescent="0.35">
      <c r="B41" s="28">
        <v>2</v>
      </c>
      <c r="C41" s="28" t="s">
        <v>169</v>
      </c>
      <c r="D41" s="15">
        <f>SUM(D39:D40)</f>
        <v>0</v>
      </c>
      <c r="E41" s="15">
        <f t="shared" ref="E41" si="8">SUM(E39:E40)</f>
        <v>0</v>
      </c>
      <c r="F41" s="15">
        <f t="shared" ref="F41" si="9">SUM(F39:F40)</f>
        <v>0</v>
      </c>
      <c r="G41" s="15">
        <f t="shared" ref="G41" si="10">SUM(G39:G40)</f>
        <v>0</v>
      </c>
      <c r="H41" s="15">
        <f t="shared" ref="H41" si="11">SUM(H39:H40)</f>
        <v>0</v>
      </c>
      <c r="I41" s="15">
        <f t="shared" ref="I41" si="12">SUM(I39:I40)</f>
        <v>0</v>
      </c>
      <c r="J41" s="48">
        <f t="shared" ref="J41" si="13">SUM(J39:J40)</f>
        <v>0</v>
      </c>
      <c r="K41" s="127"/>
      <c r="L41" s="54">
        <f>SUM(L36:L38)</f>
        <v>0</v>
      </c>
      <c r="M41" s="55">
        <f>SUM(M36:M38)</f>
        <v>0</v>
      </c>
    </row>
    <row r="42" spans="2:13" s="7" customFormat="1" ht="4.5" customHeight="1" x14ac:dyDescent="0.35">
      <c r="D42" s="19"/>
      <c r="E42" s="19"/>
      <c r="F42" s="19"/>
      <c r="G42" s="19"/>
      <c r="H42" s="19"/>
      <c r="I42" s="19"/>
      <c r="J42" s="19"/>
      <c r="K42" s="128"/>
      <c r="L42" s="56"/>
      <c r="M42" s="57"/>
    </row>
    <row r="43" spans="2:13" s="7" customFormat="1" x14ac:dyDescent="0.35">
      <c r="B43" s="8" t="s">
        <v>19</v>
      </c>
      <c r="C43" s="9"/>
      <c r="D43" s="9"/>
      <c r="E43" s="9"/>
      <c r="F43" s="9"/>
      <c r="G43" s="9"/>
      <c r="H43" s="9"/>
      <c r="I43" s="9"/>
      <c r="J43" s="9"/>
      <c r="K43" s="124"/>
      <c r="L43" s="61"/>
      <c r="M43" s="62"/>
    </row>
    <row r="44" spans="2:13" x14ac:dyDescent="0.35">
      <c r="B44" s="31" t="s">
        <v>13</v>
      </c>
      <c r="C44" s="31" t="s">
        <v>14</v>
      </c>
      <c r="D44" s="63"/>
      <c r="E44" s="63"/>
      <c r="F44" s="63"/>
      <c r="G44" s="63"/>
      <c r="H44" s="63"/>
      <c r="I44" s="63"/>
      <c r="J44" s="64"/>
      <c r="K44" s="125"/>
      <c r="L44" s="93"/>
      <c r="M44" s="94"/>
    </row>
    <row r="45" spans="2:13" x14ac:dyDescent="0.35">
      <c r="B45" s="4" t="s">
        <v>34</v>
      </c>
      <c r="C45" s="4" t="s">
        <v>68</v>
      </c>
      <c r="D45" s="16"/>
      <c r="E45" s="16"/>
      <c r="F45" s="16"/>
      <c r="G45" s="16"/>
      <c r="H45" s="16"/>
      <c r="I45" s="16"/>
      <c r="J45" s="49"/>
      <c r="K45" s="133"/>
      <c r="L45" s="52">
        <f t="shared" ref="L45:L48" si="14">SUM(D45:K45)</f>
        <v>0</v>
      </c>
      <c r="M45" s="53">
        <f t="shared" ref="M45:M48" si="15">IF($L$11&gt;0, L45/$L$11, 0)</f>
        <v>0</v>
      </c>
    </row>
    <row r="46" spans="2:13" x14ac:dyDescent="0.35">
      <c r="B46" s="4" t="s">
        <v>35</v>
      </c>
      <c r="C46" s="4" t="s">
        <v>69</v>
      </c>
      <c r="D46" s="16"/>
      <c r="E46" s="16"/>
      <c r="F46" s="16"/>
      <c r="G46" s="16"/>
      <c r="H46" s="16"/>
      <c r="I46" s="16"/>
      <c r="J46" s="49"/>
      <c r="K46" s="133"/>
      <c r="L46" s="52">
        <f t="shared" si="14"/>
        <v>0</v>
      </c>
      <c r="M46" s="53">
        <f t="shared" si="15"/>
        <v>0</v>
      </c>
    </row>
    <row r="47" spans="2:13" x14ac:dyDescent="0.35">
      <c r="B47" s="4" t="s">
        <v>36</v>
      </c>
      <c r="C47" s="4" t="s">
        <v>70</v>
      </c>
      <c r="D47" s="16"/>
      <c r="E47" s="16"/>
      <c r="F47" s="16"/>
      <c r="G47" s="16"/>
      <c r="H47" s="16"/>
      <c r="I47" s="16"/>
      <c r="J47" s="49"/>
      <c r="K47" s="133"/>
      <c r="L47" s="52">
        <f t="shared" si="14"/>
        <v>0</v>
      </c>
      <c r="M47" s="53">
        <f t="shared" si="15"/>
        <v>0</v>
      </c>
    </row>
    <row r="48" spans="2:13" x14ac:dyDescent="0.35">
      <c r="B48" s="4" t="s">
        <v>37</v>
      </c>
      <c r="C48" s="4" t="s">
        <v>71</v>
      </c>
      <c r="D48" s="16"/>
      <c r="E48" s="16"/>
      <c r="F48" s="16"/>
      <c r="G48" s="16"/>
      <c r="H48" s="16"/>
      <c r="I48" s="16"/>
      <c r="J48" s="49"/>
      <c r="K48" s="133"/>
      <c r="L48" s="52">
        <f t="shared" si="14"/>
        <v>0</v>
      </c>
      <c r="M48" s="53">
        <f t="shared" si="15"/>
        <v>0</v>
      </c>
    </row>
    <row r="49" spans="2:13" x14ac:dyDescent="0.35">
      <c r="B49" s="31"/>
      <c r="C49" s="28" t="s">
        <v>176</v>
      </c>
      <c r="D49" s="86"/>
      <c r="E49" s="86"/>
      <c r="F49" s="86"/>
      <c r="G49" s="86"/>
      <c r="H49" s="86"/>
      <c r="I49" s="86"/>
      <c r="J49" s="87"/>
      <c r="K49" s="126"/>
      <c r="L49" s="84">
        <f>SUM(L45:L48)</f>
        <v>0</v>
      </c>
      <c r="M49" s="85">
        <f>SUM(M45:M48)</f>
        <v>0</v>
      </c>
    </row>
    <row r="50" spans="2:13" x14ac:dyDescent="0.35">
      <c r="B50" s="31"/>
      <c r="C50" s="28" t="s">
        <v>173</v>
      </c>
      <c r="D50" s="18"/>
      <c r="E50" s="18"/>
      <c r="F50" s="18"/>
      <c r="G50" s="18"/>
      <c r="H50" s="18"/>
      <c r="I50" s="18"/>
      <c r="J50" s="121"/>
      <c r="K50" s="133"/>
      <c r="L50" s="84">
        <f>SUM(L46:L49)</f>
        <v>0</v>
      </c>
      <c r="M50" s="85">
        <f>SUM(M46:M49)</f>
        <v>0</v>
      </c>
    </row>
    <row r="51" spans="2:13" s="7" customFormat="1" x14ac:dyDescent="0.35">
      <c r="B51" s="28">
        <v>3</v>
      </c>
      <c r="C51" s="28" t="s">
        <v>24</v>
      </c>
      <c r="D51" s="15">
        <f>SUM(D49:D50)</f>
        <v>0</v>
      </c>
      <c r="E51" s="15">
        <f t="shared" ref="E51" si="16">SUM(E49:E50)</f>
        <v>0</v>
      </c>
      <c r="F51" s="15">
        <f t="shared" ref="F51" si="17">SUM(F49:F50)</f>
        <v>0</v>
      </c>
      <c r="G51" s="15">
        <f t="shared" ref="G51" si="18">SUM(G49:G50)</f>
        <v>0</v>
      </c>
      <c r="H51" s="15">
        <f t="shared" ref="H51" si="19">SUM(H49:H50)</f>
        <v>0</v>
      </c>
      <c r="I51" s="15">
        <f t="shared" ref="I51" si="20">SUM(I49:I50)</f>
        <v>0</v>
      </c>
      <c r="J51" s="48">
        <f t="shared" ref="J51" si="21">SUM(J49:J50)</f>
        <v>0</v>
      </c>
      <c r="K51" s="127"/>
      <c r="L51" s="54">
        <f>SUM(L45:L48)</f>
        <v>0</v>
      </c>
      <c r="M51" s="55">
        <f>SUM(M45:M48)</f>
        <v>0</v>
      </c>
    </row>
    <row r="52" spans="2:13" s="7" customFormat="1" ht="4.5" customHeight="1" x14ac:dyDescent="0.35">
      <c r="D52" s="19"/>
      <c r="E52" s="19"/>
      <c r="F52" s="19"/>
      <c r="G52" s="19"/>
      <c r="H52" s="19"/>
      <c r="I52" s="19"/>
      <c r="J52" s="19"/>
      <c r="K52" s="128"/>
      <c r="L52" s="56"/>
      <c r="M52" s="57"/>
    </row>
    <row r="53" spans="2:13" x14ac:dyDescent="0.35">
      <c r="B53" s="8">
        <v>4</v>
      </c>
      <c r="C53" s="9" t="s">
        <v>25</v>
      </c>
      <c r="D53" s="15">
        <f>D32+D41+D51</f>
        <v>0</v>
      </c>
      <c r="E53" s="15">
        <f t="shared" ref="E53:J53" si="22">E32+E41+E51</f>
        <v>0</v>
      </c>
      <c r="F53" s="15">
        <f t="shared" si="22"/>
        <v>0</v>
      </c>
      <c r="G53" s="15">
        <f t="shared" si="22"/>
        <v>0</v>
      </c>
      <c r="H53" s="15">
        <f t="shared" si="22"/>
        <v>0</v>
      </c>
      <c r="I53" s="15">
        <f t="shared" si="22"/>
        <v>0</v>
      </c>
      <c r="J53" s="48">
        <f t="shared" si="22"/>
        <v>0</v>
      </c>
      <c r="K53" s="127"/>
      <c r="L53" s="54">
        <f>SUM(L32+L41+L51)</f>
        <v>0</v>
      </c>
      <c r="M53" s="55">
        <f>M32+M41+M51</f>
        <v>0</v>
      </c>
    </row>
    <row r="54" spans="2:13" s="7" customFormat="1" ht="7.5" customHeight="1" x14ac:dyDescent="0.35">
      <c r="K54" s="129"/>
      <c r="L54" s="56"/>
      <c r="M54" s="57"/>
    </row>
    <row r="55" spans="2:13" x14ac:dyDescent="0.35">
      <c r="B55" s="27">
        <v>5</v>
      </c>
      <c r="C55" s="21" t="s">
        <v>87</v>
      </c>
      <c r="D55" s="16"/>
      <c r="E55" s="6"/>
      <c r="F55" s="6"/>
      <c r="G55" s="6"/>
      <c r="H55" s="6"/>
      <c r="I55" s="6"/>
      <c r="J55" s="122"/>
      <c r="K55" s="134"/>
      <c r="L55" s="52">
        <f t="shared" ref="L55:L57" si="23">SUM(D55:K55)</f>
        <v>0</v>
      </c>
      <c r="M55" s="53">
        <f t="shared" ref="M55:M57" si="24">IF($L$11&gt;0, L55/$L$11, 0)</f>
        <v>0</v>
      </c>
    </row>
    <row r="56" spans="2:13" x14ac:dyDescent="0.35">
      <c r="B56" s="27">
        <v>6</v>
      </c>
      <c r="C56" s="21" t="s">
        <v>78</v>
      </c>
      <c r="D56" s="16"/>
      <c r="E56" s="6"/>
      <c r="F56" s="6"/>
      <c r="G56" s="6"/>
      <c r="H56" s="6"/>
      <c r="I56" s="6"/>
      <c r="J56" s="122"/>
      <c r="K56" s="134"/>
      <c r="L56" s="52">
        <f t="shared" si="23"/>
        <v>0</v>
      </c>
      <c r="M56" s="53">
        <f t="shared" si="24"/>
        <v>0</v>
      </c>
    </row>
    <row r="57" spans="2:13" x14ac:dyDescent="0.35">
      <c r="B57" s="27">
        <v>7</v>
      </c>
      <c r="C57" s="21" t="s">
        <v>79</v>
      </c>
      <c r="D57" s="16"/>
      <c r="E57" s="6"/>
      <c r="F57" s="6"/>
      <c r="G57" s="6"/>
      <c r="H57" s="6"/>
      <c r="I57" s="6"/>
      <c r="J57" s="122"/>
      <c r="K57" s="134"/>
      <c r="L57" s="52">
        <f t="shared" si="23"/>
        <v>0</v>
      </c>
      <c r="M57" s="53">
        <f t="shared" si="24"/>
        <v>0</v>
      </c>
    </row>
    <row r="58" spans="2:13" s="7" customFormat="1" ht="7.5" customHeight="1" x14ac:dyDescent="0.35">
      <c r="K58" s="129"/>
      <c r="L58" s="56"/>
      <c r="M58" s="57"/>
    </row>
    <row r="59" spans="2:13" x14ac:dyDescent="0.35">
      <c r="B59" s="8"/>
      <c r="C59" s="9" t="s">
        <v>110</v>
      </c>
      <c r="D59" s="15">
        <f>D53+SUM(D55:D57)</f>
        <v>0</v>
      </c>
      <c r="E59" s="15">
        <f t="shared" ref="E59:J59" si="25">E53+SUM(E55:E57)</f>
        <v>0</v>
      </c>
      <c r="F59" s="15">
        <f t="shared" si="25"/>
        <v>0</v>
      </c>
      <c r="G59" s="15">
        <f t="shared" si="25"/>
        <v>0</v>
      </c>
      <c r="H59" s="15">
        <f t="shared" si="25"/>
        <v>0</v>
      </c>
      <c r="I59" s="15">
        <f t="shared" si="25"/>
        <v>0</v>
      </c>
      <c r="J59" s="48">
        <f t="shared" si="25"/>
        <v>0</v>
      </c>
      <c r="K59" s="127"/>
      <c r="L59" s="54">
        <f>SUM(D59:K59)</f>
        <v>0</v>
      </c>
      <c r="M59" s="55"/>
    </row>
    <row r="60" spans="2:13" ht="15" thickBot="1" x14ac:dyDescent="0.4">
      <c r="B60" s="8">
        <v>8</v>
      </c>
      <c r="C60" s="9" t="s">
        <v>111</v>
      </c>
      <c r="D60" s="15">
        <f t="shared" ref="D60:J60" si="26">D59/$L$11</f>
        <v>0</v>
      </c>
      <c r="E60" s="15">
        <f t="shared" si="26"/>
        <v>0</v>
      </c>
      <c r="F60" s="15">
        <f t="shared" si="26"/>
        <v>0</v>
      </c>
      <c r="G60" s="15">
        <f t="shared" si="26"/>
        <v>0</v>
      </c>
      <c r="H60" s="15">
        <f t="shared" si="26"/>
        <v>0</v>
      </c>
      <c r="I60" s="15">
        <f t="shared" si="26"/>
        <v>0</v>
      </c>
      <c r="J60" s="48">
        <f t="shared" si="26"/>
        <v>0</v>
      </c>
      <c r="K60" s="130"/>
      <c r="L60" s="58"/>
      <c r="M60" s="59">
        <f>SUM(D60:K60)</f>
        <v>0</v>
      </c>
    </row>
    <row r="61" spans="2:13" ht="15" thickBot="1" x14ac:dyDescent="0.4"/>
    <row r="62" spans="2:13" ht="15" thickBot="1" x14ac:dyDescent="0.4">
      <c r="B62" s="8"/>
      <c r="C62" s="9" t="s">
        <v>237</v>
      </c>
      <c r="D62" s="9"/>
      <c r="E62" s="9"/>
      <c r="F62" s="9"/>
      <c r="G62" s="9"/>
      <c r="H62" s="9"/>
      <c r="I62" s="9"/>
      <c r="J62" s="9"/>
      <c r="K62" s="170"/>
      <c r="L62" s="99"/>
      <c r="M62" s="100">
        <f>'PBF1'!I57</f>
        <v>0</v>
      </c>
    </row>
    <row r="63" spans="2:13" ht="15" thickBot="1" x14ac:dyDescent="0.4"/>
    <row r="64" spans="2:13" x14ac:dyDescent="0.35">
      <c r="B64" s="8"/>
      <c r="C64" s="9" t="s">
        <v>236</v>
      </c>
      <c r="D64" s="9"/>
      <c r="E64" s="9"/>
      <c r="F64" s="9"/>
      <c r="G64" s="9"/>
      <c r="H64" s="9"/>
      <c r="I64" s="9"/>
      <c r="J64" s="9"/>
      <c r="K64" s="146" t="s">
        <v>124</v>
      </c>
      <c r="L64" s="95"/>
      <c r="M64" s="96"/>
    </row>
    <row r="65" spans="2:13" s="7" customFormat="1" x14ac:dyDescent="0.35">
      <c r="B65" s="8" t="s">
        <v>128</v>
      </c>
      <c r="C65" s="9" t="s">
        <v>60</v>
      </c>
      <c r="D65" s="9"/>
      <c r="E65" s="9"/>
      <c r="F65" s="9"/>
      <c r="G65" s="9"/>
      <c r="H65" s="9"/>
      <c r="I65" s="9"/>
      <c r="J65" s="9"/>
      <c r="K65" s="143">
        <f>'PBF1'!I63</f>
        <v>0</v>
      </c>
      <c r="L65" s="144"/>
      <c r="M65" s="145">
        <f>K65</f>
        <v>0</v>
      </c>
    </row>
    <row r="66" spans="2:13" ht="15" thickBot="1" x14ac:dyDescent="0.4">
      <c r="B66" s="8" t="s">
        <v>129</v>
      </c>
      <c r="C66" s="9" t="s">
        <v>59</v>
      </c>
      <c r="D66" s="9"/>
      <c r="E66" s="9"/>
      <c r="F66" s="9"/>
      <c r="G66" s="9"/>
      <c r="H66" s="9"/>
      <c r="I66" s="9"/>
      <c r="J66" s="9"/>
      <c r="K66" s="135">
        <f>'PBF1'!I64</f>
        <v>0</v>
      </c>
      <c r="L66" s="98"/>
      <c r="M66" s="113">
        <f>K66</f>
        <v>0</v>
      </c>
    </row>
    <row r="67" spans="2:13" ht="10.5" customHeight="1" thickBot="1" x14ac:dyDescent="0.4">
      <c r="H67" s="17"/>
      <c r="I67" s="17"/>
    </row>
    <row r="68" spans="2:13" s="7" customFormat="1" ht="22.5" customHeight="1" thickBot="1" x14ac:dyDescent="0.4">
      <c r="B68" s="8">
        <v>10</v>
      </c>
      <c r="C68" s="9" t="s">
        <v>140</v>
      </c>
      <c r="D68" s="15">
        <f>D60</f>
        <v>0</v>
      </c>
      <c r="E68" s="15">
        <f t="shared" ref="E68:I68" si="27">E60</f>
        <v>0</v>
      </c>
      <c r="F68" s="15">
        <f t="shared" si="27"/>
        <v>0</v>
      </c>
      <c r="G68" s="15">
        <f t="shared" si="27"/>
        <v>0</v>
      </c>
      <c r="H68" s="15">
        <f t="shared" si="27"/>
        <v>0</v>
      </c>
      <c r="I68" s="15">
        <f t="shared" si="27"/>
        <v>0</v>
      </c>
      <c r="J68" s="15">
        <f>J60</f>
        <v>0</v>
      </c>
      <c r="K68" s="15">
        <f>SUM(K65:K66)</f>
        <v>0</v>
      </c>
      <c r="L68" s="99"/>
      <c r="M68" s="100">
        <f>M60+M62+SUM(M65:M66)</f>
        <v>0</v>
      </c>
    </row>
    <row r="70" spans="2:13" x14ac:dyDescent="0.35">
      <c r="B70" s="3" t="s">
        <v>235</v>
      </c>
    </row>
  </sheetData>
  <mergeCells count="1">
    <mergeCell ref="D13:F13"/>
  </mergeCells>
  <pageMargins left="0.7" right="0.7" top="1.1811023622047201" bottom="0.75" header="0.3" footer="0.3"/>
  <pageSetup paperSize="9" orientation="portrait" r:id="rId1"/>
  <headerFooter scaleWithDoc="0">
    <oddHeader>&amp;L&amp;"Arial,Regular"&amp;9ESA UNCLASSIFIED - For ESA Official Use Only&amp;R&amp;G</oddHeader>
    <oddFooter>&amp;L&amp;"Arial,Regular"&amp;9Page &amp;P / &amp;N
ESA STANDARD PRICE BREAKDOWN FORMS
Issue/Revision: 6.0&amp;R&amp;G</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C16E-36C5-468B-BE21-662E9BD57068}">
  <dimension ref="B2:M74"/>
  <sheetViews>
    <sheetView topLeftCell="A32" zoomScale="90" zoomScaleNormal="90" workbookViewId="0">
      <selection activeCell="M62" sqref="M62"/>
    </sheetView>
  </sheetViews>
  <sheetFormatPr defaultColWidth="8.6328125" defaultRowHeight="14.5" x14ac:dyDescent="0.35"/>
  <cols>
    <col min="1" max="1" width="2.81640625" style="3" customWidth="1"/>
    <col min="2" max="2" width="14.453125" style="3" customWidth="1"/>
    <col min="3" max="3" width="40.1796875" style="3" customWidth="1"/>
    <col min="4" max="4" width="19" style="3" customWidth="1"/>
    <col min="5" max="9" width="18.453125" style="3" customWidth="1"/>
    <col min="10" max="10" width="17.81640625" style="3" customWidth="1"/>
    <col min="11" max="11" width="27.36328125" style="3" bestFit="1" customWidth="1"/>
    <col min="12" max="13" width="18.08984375" style="3" customWidth="1"/>
    <col min="14" max="14" width="3.26953125" style="3" customWidth="1"/>
    <col min="15" max="16384" width="8.6328125" style="3"/>
  </cols>
  <sheetData>
    <row r="2" spans="2:13" ht="40" customHeight="1" x14ac:dyDescent="0.35">
      <c r="B2" s="10" t="s">
        <v>15</v>
      </c>
      <c r="C2" s="21" t="s">
        <v>61</v>
      </c>
      <c r="D2" s="21"/>
      <c r="E2" s="21"/>
      <c r="F2" s="21"/>
      <c r="G2" s="21"/>
      <c r="H2" s="21"/>
      <c r="I2" s="21"/>
      <c r="J2" s="21"/>
      <c r="K2" s="21"/>
      <c r="L2" s="36" t="s">
        <v>216</v>
      </c>
      <c r="M2" s="2" t="str">
        <f>'PBF1'!I2</f>
        <v>(date)</v>
      </c>
    </row>
    <row r="3" spans="2:13" ht="7" customHeight="1" x14ac:dyDescent="0.35">
      <c r="B3" s="11"/>
      <c r="C3" s="11"/>
      <c r="D3" s="11"/>
      <c r="E3" s="11"/>
      <c r="F3" s="11"/>
      <c r="G3" s="11"/>
      <c r="H3" s="11"/>
      <c r="I3" s="11"/>
      <c r="J3" s="11"/>
      <c r="K3" s="11"/>
      <c r="L3" s="11"/>
      <c r="M3" s="11"/>
    </row>
    <row r="4" spans="2:13" ht="7" customHeight="1" x14ac:dyDescent="0.35">
      <c r="B4" s="12"/>
      <c r="C4" s="12"/>
      <c r="D4" s="12"/>
      <c r="E4" s="12"/>
      <c r="F4" s="12"/>
      <c r="G4" s="12"/>
      <c r="H4" s="12"/>
      <c r="I4" s="12"/>
      <c r="J4" s="12"/>
      <c r="K4" s="12"/>
      <c r="L4" s="12"/>
      <c r="M4" s="12"/>
    </row>
    <row r="5" spans="2:13" x14ac:dyDescent="0.35">
      <c r="C5" s="31" t="s">
        <v>0</v>
      </c>
      <c r="D5" s="4">
        <f>'PBF1'!D5</f>
        <v>0</v>
      </c>
      <c r="K5" s="31" t="s">
        <v>123</v>
      </c>
      <c r="L5" s="35" t="str">
        <f>'PBF1'!H5</f>
        <v>name</v>
      </c>
      <c r="M5" s="35" t="str">
        <f>'PBF1'!I5</f>
        <v>country</v>
      </c>
    </row>
    <row r="6" spans="2:13" x14ac:dyDescent="0.35">
      <c r="C6" s="31" t="s">
        <v>32</v>
      </c>
      <c r="D6" s="4">
        <f>'PBF1'!D6</f>
        <v>0</v>
      </c>
      <c r="K6" s="31" t="s">
        <v>33</v>
      </c>
      <c r="L6" s="35" t="str">
        <f>'PBF1'!H6</f>
        <v>LE</v>
      </c>
      <c r="M6" s="35" t="str">
        <f>'PBF1'!I6</f>
        <v>BU</v>
      </c>
    </row>
    <row r="7" spans="2:13" x14ac:dyDescent="0.35">
      <c r="K7" s="31" t="s">
        <v>126</v>
      </c>
      <c r="L7" s="35">
        <f>'PBF1'!H7</f>
        <v>0</v>
      </c>
      <c r="M7" s="35">
        <f>'PBF1'!I7</f>
        <v>0</v>
      </c>
    </row>
    <row r="9" spans="2:13" x14ac:dyDescent="0.35">
      <c r="C9" s="31" t="s">
        <v>221</v>
      </c>
      <c r="D9" s="168">
        <f>'PBF1'!D10</f>
        <v>0</v>
      </c>
      <c r="E9" s="148" t="s">
        <v>209</v>
      </c>
    </row>
    <row r="10" spans="2:13" x14ac:dyDescent="0.35">
      <c r="C10" s="31" t="s">
        <v>3</v>
      </c>
      <c r="D10" s="4">
        <f>'PBF1'!D11</f>
        <v>0</v>
      </c>
      <c r="E10" s="148" t="e">
        <f>_xlfn.XLOOKUP(D10, ptype, ptypet)</f>
        <v>#N/A</v>
      </c>
      <c r="K10" s="31" t="s">
        <v>4</v>
      </c>
      <c r="L10" s="35" t="str">
        <f>'PBF1'!H10</f>
        <v>EUR</v>
      </c>
      <c r="M10" s="35">
        <f>'PBF1'!I10</f>
        <v>0</v>
      </c>
    </row>
    <row r="11" spans="2:13" x14ac:dyDescent="0.35">
      <c r="K11" s="31" t="s">
        <v>5</v>
      </c>
      <c r="L11" s="35">
        <f>'PBF1'!H11</f>
        <v>1</v>
      </c>
      <c r="M11" s="89" t="str">
        <f>IF(L10="", "EUR", L10)</f>
        <v>EUR</v>
      </c>
    </row>
    <row r="12" spans="2:13" x14ac:dyDescent="0.35">
      <c r="C12" s="3" t="s">
        <v>11</v>
      </c>
    </row>
    <row r="13" spans="2:13" x14ac:dyDescent="0.35">
      <c r="B13" s="23"/>
      <c r="C13" s="31" t="s">
        <v>217</v>
      </c>
      <c r="D13" s="179">
        <f>'PBF1'!D13</f>
        <v>0</v>
      </c>
      <c r="E13" s="180"/>
      <c r="F13" s="180"/>
      <c r="L13" s="31" t="s">
        <v>6</v>
      </c>
      <c r="M13" s="169">
        <f>'PBF1'!I13</f>
        <v>0</v>
      </c>
    </row>
    <row r="14" spans="2:13" ht="7.5" customHeight="1" x14ac:dyDescent="0.35">
      <c r="B14" s="22"/>
      <c r="C14" s="11"/>
      <c r="D14" s="11"/>
      <c r="E14" s="11"/>
      <c r="F14" s="11"/>
      <c r="G14" s="11"/>
      <c r="H14" s="11"/>
      <c r="I14" s="11"/>
      <c r="J14" s="11"/>
      <c r="K14" s="11"/>
      <c r="L14" s="11"/>
      <c r="M14" s="11"/>
    </row>
    <row r="15" spans="2:13" ht="7.5" customHeight="1" x14ac:dyDescent="0.35">
      <c r="B15" s="12"/>
      <c r="C15" s="12"/>
      <c r="D15" s="12"/>
      <c r="E15" s="12"/>
      <c r="F15" s="12"/>
      <c r="G15" s="12"/>
      <c r="H15" s="12"/>
      <c r="I15" s="12"/>
      <c r="J15" s="12"/>
      <c r="K15" s="12"/>
      <c r="L15" s="12"/>
      <c r="M15" s="12"/>
    </row>
    <row r="16" spans="2:13" x14ac:dyDescent="0.35">
      <c r="B16" s="3" t="s">
        <v>233</v>
      </c>
      <c r="C16" s="139" t="s">
        <v>186</v>
      </c>
      <c r="D16" s="4" t="s">
        <v>232</v>
      </c>
      <c r="E16" s="147" t="s">
        <v>187</v>
      </c>
    </row>
    <row r="17" spans="2:13" ht="8.5" customHeight="1" x14ac:dyDescent="0.35">
      <c r="C17" s="139"/>
    </row>
    <row r="18" spans="2:13" x14ac:dyDescent="0.35">
      <c r="C18" s="139" t="s">
        <v>64</v>
      </c>
      <c r="D18" s="32"/>
      <c r="E18" s="32"/>
      <c r="F18" s="32"/>
      <c r="G18" s="32"/>
      <c r="H18" s="32"/>
      <c r="I18" s="32"/>
      <c r="J18" s="32"/>
    </row>
    <row r="19" spans="2:13" x14ac:dyDescent="0.35">
      <c r="C19" s="139" t="s">
        <v>65</v>
      </c>
      <c r="D19" s="32"/>
      <c r="E19" s="32"/>
      <c r="F19" s="32"/>
      <c r="G19" s="32"/>
      <c r="H19" s="32"/>
      <c r="I19" s="32"/>
      <c r="J19" s="32"/>
    </row>
    <row r="20" spans="2:13" ht="4.5" customHeight="1" thickBot="1" x14ac:dyDescent="0.4">
      <c r="D20" s="60"/>
      <c r="E20" s="60"/>
      <c r="F20" s="60"/>
      <c r="G20" s="60"/>
      <c r="H20" s="60"/>
      <c r="I20" s="60"/>
      <c r="J20" s="60"/>
      <c r="K20" s="17"/>
    </row>
    <row r="21" spans="2:13" x14ac:dyDescent="0.35">
      <c r="K21" s="123" t="s">
        <v>214</v>
      </c>
      <c r="L21" s="50" t="s">
        <v>188</v>
      </c>
      <c r="M21" s="51" t="s">
        <v>189</v>
      </c>
    </row>
    <row r="22" spans="2:13" s="7" customFormat="1" x14ac:dyDescent="0.35">
      <c r="B22" s="8" t="s">
        <v>12</v>
      </c>
      <c r="C22" s="9"/>
      <c r="D22" s="9"/>
      <c r="E22" s="9"/>
      <c r="F22" s="9"/>
      <c r="G22" s="9"/>
      <c r="H22" s="9"/>
      <c r="I22" s="9"/>
      <c r="J22" s="9"/>
      <c r="K22" s="124"/>
      <c r="L22" s="61"/>
      <c r="M22" s="62"/>
    </row>
    <row r="23" spans="2:13" x14ac:dyDescent="0.35">
      <c r="B23" s="31" t="s">
        <v>13</v>
      </c>
      <c r="C23" s="31" t="s">
        <v>14</v>
      </c>
      <c r="D23" s="63"/>
      <c r="E23" s="63"/>
      <c r="F23" s="63"/>
      <c r="G23" s="63"/>
      <c r="H23" s="63"/>
      <c r="I23" s="63"/>
      <c r="J23" s="64"/>
      <c r="K23" s="125"/>
      <c r="L23" s="65"/>
      <c r="M23" s="66"/>
    </row>
    <row r="24" spans="2:13" x14ac:dyDescent="0.35">
      <c r="B24" s="4"/>
      <c r="C24" s="4"/>
      <c r="D24" s="18"/>
      <c r="E24" s="18"/>
      <c r="F24" s="18"/>
      <c r="G24" s="18"/>
      <c r="H24" s="18"/>
      <c r="I24" s="18"/>
      <c r="J24" s="121"/>
      <c r="K24" s="133"/>
      <c r="L24" s="52">
        <f>SUM(D24:K24)</f>
        <v>0</v>
      </c>
      <c r="M24" s="53">
        <f>IF($L$11&gt;0, L24/$L$11, 0)</f>
        <v>0</v>
      </c>
    </row>
    <row r="25" spans="2:13" x14ac:dyDescent="0.35">
      <c r="B25" s="4"/>
      <c r="C25" s="4"/>
      <c r="D25" s="18"/>
      <c r="E25" s="18"/>
      <c r="F25" s="18"/>
      <c r="G25" s="18"/>
      <c r="H25" s="18"/>
      <c r="I25" s="18"/>
      <c r="J25" s="121"/>
      <c r="K25" s="133"/>
      <c r="L25" s="52">
        <f t="shared" ref="L25:L28" si="0">SUM(D25:K25)</f>
        <v>0</v>
      </c>
      <c r="M25" s="53">
        <f t="shared" ref="M25:M28" si="1">IF($L$11&gt;0, L25/$L$11, 0)</f>
        <v>0</v>
      </c>
    </row>
    <row r="26" spans="2:13" x14ac:dyDescent="0.35">
      <c r="B26" s="4"/>
      <c r="C26" s="4"/>
      <c r="D26" s="18"/>
      <c r="E26" s="18"/>
      <c r="F26" s="18"/>
      <c r="G26" s="18"/>
      <c r="H26" s="18"/>
      <c r="I26" s="18"/>
      <c r="J26" s="121"/>
      <c r="K26" s="133"/>
      <c r="L26" s="52">
        <f t="shared" si="0"/>
        <v>0</v>
      </c>
      <c r="M26" s="53">
        <f t="shared" si="1"/>
        <v>0</v>
      </c>
    </row>
    <row r="27" spans="2:13" x14ac:dyDescent="0.35">
      <c r="B27" s="4"/>
      <c r="C27" s="4"/>
      <c r="D27" s="18"/>
      <c r="E27" s="18"/>
      <c r="F27" s="18"/>
      <c r="G27" s="18"/>
      <c r="H27" s="18"/>
      <c r="I27" s="18"/>
      <c r="J27" s="121"/>
      <c r="K27" s="133"/>
      <c r="L27" s="52">
        <f t="shared" si="0"/>
        <v>0</v>
      </c>
      <c r="M27" s="53">
        <f t="shared" si="1"/>
        <v>0</v>
      </c>
    </row>
    <row r="28" spans="2:13" x14ac:dyDescent="0.35">
      <c r="B28" s="4"/>
      <c r="C28" s="4"/>
      <c r="D28" s="18"/>
      <c r="E28" s="18"/>
      <c r="F28" s="18"/>
      <c r="G28" s="18"/>
      <c r="H28" s="18"/>
      <c r="I28" s="18"/>
      <c r="J28" s="121"/>
      <c r="K28" s="133"/>
      <c r="L28" s="52">
        <f t="shared" si="0"/>
        <v>0</v>
      </c>
      <c r="M28" s="53">
        <f t="shared" si="1"/>
        <v>0</v>
      </c>
    </row>
    <row r="29" spans="2:13" x14ac:dyDescent="0.35">
      <c r="B29" s="31"/>
      <c r="C29" s="28" t="s">
        <v>171</v>
      </c>
      <c r="D29" s="86">
        <f>SUM(D24:D28)</f>
        <v>0</v>
      </c>
      <c r="E29" s="86">
        <f t="shared" ref="E29:J29" si="2">SUM(E24:E28)</f>
        <v>0</v>
      </c>
      <c r="F29" s="86">
        <f t="shared" si="2"/>
        <v>0</v>
      </c>
      <c r="G29" s="86">
        <f t="shared" si="2"/>
        <v>0</v>
      </c>
      <c r="H29" s="86">
        <f t="shared" si="2"/>
        <v>0</v>
      </c>
      <c r="I29" s="86">
        <f t="shared" si="2"/>
        <v>0</v>
      </c>
      <c r="J29" s="87">
        <f t="shared" si="2"/>
        <v>0</v>
      </c>
      <c r="K29" s="126"/>
      <c r="L29" s="84"/>
      <c r="M29" s="85"/>
    </row>
    <row r="30" spans="2:13" x14ac:dyDescent="0.35">
      <c r="B30" s="31"/>
      <c r="C30" s="28" t="s">
        <v>170</v>
      </c>
      <c r="D30" s="115"/>
      <c r="E30" s="115"/>
      <c r="F30" s="115"/>
      <c r="G30" s="115"/>
      <c r="H30" s="115"/>
      <c r="I30" s="115"/>
      <c r="J30" s="116"/>
      <c r="K30" s="126"/>
      <c r="L30" s="84">
        <f>SUM(L24:L28)</f>
        <v>0</v>
      </c>
      <c r="M30" s="85">
        <f>SUM(M24:M28)</f>
        <v>0</v>
      </c>
    </row>
    <row r="31" spans="2:13" x14ac:dyDescent="0.35">
      <c r="B31" s="31"/>
      <c r="C31" s="28" t="s">
        <v>172</v>
      </c>
      <c r="D31" s="115"/>
      <c r="E31" s="115"/>
      <c r="F31" s="115"/>
      <c r="G31" s="115"/>
      <c r="H31" s="115"/>
      <c r="I31" s="115"/>
      <c r="J31" s="116"/>
      <c r="K31" s="126"/>
      <c r="L31" s="84">
        <f>SUM(L25:L29)</f>
        <v>0</v>
      </c>
      <c r="M31" s="85">
        <f>SUM(M25:M29)</f>
        <v>0</v>
      </c>
    </row>
    <row r="32" spans="2:13" s="7" customFormat="1" x14ac:dyDescent="0.35">
      <c r="B32" s="28">
        <v>1</v>
      </c>
      <c r="C32" s="28" t="s">
        <v>155</v>
      </c>
      <c r="D32" s="15">
        <f>SUM(D30:D31)</f>
        <v>0</v>
      </c>
      <c r="E32" s="15">
        <f t="shared" ref="E32" si="3">SUM(E30:E31)</f>
        <v>0</v>
      </c>
      <c r="F32" s="15">
        <f t="shared" ref="F32" si="4">SUM(F30:F31)</f>
        <v>0</v>
      </c>
      <c r="G32" s="15">
        <f t="shared" ref="G32" si="5">SUM(G30:G31)</f>
        <v>0</v>
      </c>
      <c r="H32" s="15">
        <f t="shared" ref="H32" si="6">SUM(H30:H31)</f>
        <v>0</v>
      </c>
      <c r="I32" s="15">
        <f t="shared" ref="I32" si="7">SUM(I30:I31)</f>
        <v>0</v>
      </c>
      <c r="J32" s="48">
        <f t="shared" ref="J32" si="8">SUM(J30:J31)</f>
        <v>0</v>
      </c>
      <c r="K32" s="127"/>
      <c r="L32" s="54">
        <f t="shared" ref="L32:M32" si="9">SUM(L24:L28)</f>
        <v>0</v>
      </c>
      <c r="M32" s="55">
        <f t="shared" si="9"/>
        <v>0</v>
      </c>
    </row>
    <row r="33" spans="2:13" s="7" customFormat="1" ht="4.5" customHeight="1" x14ac:dyDescent="0.35">
      <c r="D33" s="19"/>
      <c r="E33" s="19"/>
      <c r="F33" s="19"/>
      <c r="G33" s="19"/>
      <c r="H33" s="19"/>
      <c r="I33" s="19"/>
      <c r="J33" s="19"/>
      <c r="K33" s="128"/>
      <c r="L33" s="56"/>
      <c r="M33" s="57"/>
    </row>
    <row r="34" spans="2:13" s="7" customFormat="1" x14ac:dyDescent="0.35">
      <c r="B34" s="8" t="s">
        <v>16</v>
      </c>
      <c r="C34" s="9"/>
      <c r="D34" s="9"/>
      <c r="E34" s="9"/>
      <c r="F34" s="9"/>
      <c r="G34" s="9"/>
      <c r="H34" s="9"/>
      <c r="I34" s="9"/>
      <c r="J34" s="9"/>
      <c r="K34" s="124"/>
      <c r="L34" s="61"/>
      <c r="M34" s="62"/>
    </row>
    <row r="35" spans="2:13" x14ac:dyDescent="0.35">
      <c r="B35" s="31" t="s">
        <v>13</v>
      </c>
      <c r="C35" s="31" t="s">
        <v>14</v>
      </c>
      <c r="D35" s="63"/>
      <c r="E35" s="63"/>
      <c r="F35" s="63"/>
      <c r="G35" s="63"/>
      <c r="H35" s="63"/>
      <c r="I35" s="63"/>
      <c r="J35" s="64"/>
      <c r="K35" s="125"/>
      <c r="L35" s="93"/>
      <c r="M35" s="94"/>
    </row>
    <row r="36" spans="2:13" x14ac:dyDescent="0.35">
      <c r="B36" s="4"/>
      <c r="C36" s="4"/>
      <c r="D36" s="4"/>
      <c r="E36" s="4"/>
      <c r="F36" s="4"/>
      <c r="G36" s="4"/>
      <c r="H36" s="4"/>
      <c r="I36" s="4"/>
      <c r="J36" s="1"/>
      <c r="K36" s="133"/>
      <c r="L36" s="52">
        <f t="shared" ref="L36:L38" si="10">SUM(D36:K36)</f>
        <v>0</v>
      </c>
      <c r="M36" s="53">
        <f t="shared" ref="M36:M38" si="11">IF($L$11&gt;0, L36/$L$11, 0)</f>
        <v>0</v>
      </c>
    </row>
    <row r="37" spans="2:13" x14ac:dyDescent="0.35">
      <c r="B37" s="4"/>
      <c r="C37" s="4"/>
      <c r="D37" s="4"/>
      <c r="E37" s="4"/>
      <c r="F37" s="4"/>
      <c r="G37" s="4"/>
      <c r="H37" s="4"/>
      <c r="I37" s="4"/>
      <c r="J37" s="1"/>
      <c r="K37" s="133"/>
      <c r="L37" s="52">
        <f t="shared" si="10"/>
        <v>0</v>
      </c>
      <c r="M37" s="53">
        <f t="shared" si="11"/>
        <v>0</v>
      </c>
    </row>
    <row r="38" spans="2:13" x14ac:dyDescent="0.35">
      <c r="B38" s="4"/>
      <c r="C38" s="4"/>
      <c r="D38" s="4"/>
      <c r="E38" s="4"/>
      <c r="F38" s="4"/>
      <c r="G38" s="4"/>
      <c r="H38" s="4"/>
      <c r="I38" s="4"/>
      <c r="J38" s="1"/>
      <c r="K38" s="133"/>
      <c r="L38" s="52">
        <f t="shared" si="10"/>
        <v>0</v>
      </c>
      <c r="M38" s="53">
        <f t="shared" si="11"/>
        <v>0</v>
      </c>
    </row>
    <row r="39" spans="2:13" x14ac:dyDescent="0.35">
      <c r="B39" s="31"/>
      <c r="C39" s="28" t="s">
        <v>175</v>
      </c>
      <c r="D39" s="86"/>
      <c r="E39" s="86"/>
      <c r="F39" s="86"/>
      <c r="G39" s="86"/>
      <c r="H39" s="86"/>
      <c r="I39" s="86"/>
      <c r="J39" s="87"/>
      <c r="K39" s="126"/>
      <c r="L39" s="84">
        <f>SUM(L35:L38)</f>
        <v>0</v>
      </c>
      <c r="M39" s="85">
        <f>SUM(M35:M38)</f>
        <v>0</v>
      </c>
    </row>
    <row r="40" spans="2:13" x14ac:dyDescent="0.35">
      <c r="B40" s="31"/>
      <c r="C40" s="28" t="s">
        <v>174</v>
      </c>
      <c r="D40" s="115"/>
      <c r="E40" s="115"/>
      <c r="F40" s="115"/>
      <c r="G40" s="115"/>
      <c r="H40" s="115"/>
      <c r="I40" s="115"/>
      <c r="J40" s="116"/>
      <c r="K40" s="126"/>
      <c r="L40" s="84">
        <f>SUM(L36:L39)</f>
        <v>0</v>
      </c>
      <c r="M40" s="85">
        <f>SUM(M36:M39)</f>
        <v>0</v>
      </c>
    </row>
    <row r="41" spans="2:13" s="7" customFormat="1" x14ac:dyDescent="0.35">
      <c r="B41" s="28">
        <v>2</v>
      </c>
      <c r="C41" s="28" t="s">
        <v>169</v>
      </c>
      <c r="D41" s="15">
        <f>SUM(D39:D40)</f>
        <v>0</v>
      </c>
      <c r="E41" s="15">
        <f t="shared" ref="E41:J41" si="12">SUM(E39:E40)</f>
        <v>0</v>
      </c>
      <c r="F41" s="15">
        <f t="shared" si="12"/>
        <v>0</v>
      </c>
      <c r="G41" s="15">
        <f t="shared" si="12"/>
        <v>0</v>
      </c>
      <c r="H41" s="15">
        <f t="shared" si="12"/>
        <v>0</v>
      </c>
      <c r="I41" s="15">
        <f t="shared" si="12"/>
        <v>0</v>
      </c>
      <c r="J41" s="48">
        <f t="shared" si="12"/>
        <v>0</v>
      </c>
      <c r="K41" s="127"/>
      <c r="L41" s="54">
        <f>SUM(L36:L38)</f>
        <v>0</v>
      </c>
      <c r="M41" s="55">
        <f>SUM(M36:M38)</f>
        <v>0</v>
      </c>
    </row>
    <row r="42" spans="2:13" s="7" customFormat="1" ht="4.5" customHeight="1" x14ac:dyDescent="0.35">
      <c r="D42" s="19"/>
      <c r="E42" s="19"/>
      <c r="F42" s="19"/>
      <c r="G42" s="19"/>
      <c r="H42" s="19"/>
      <c r="I42" s="19"/>
      <c r="J42" s="19"/>
      <c r="K42" s="128"/>
      <c r="L42" s="56"/>
      <c r="M42" s="57"/>
    </row>
    <row r="43" spans="2:13" s="7" customFormat="1" x14ac:dyDescent="0.35">
      <c r="B43" s="8" t="s">
        <v>19</v>
      </c>
      <c r="C43" s="9"/>
      <c r="D43" s="9"/>
      <c r="E43" s="9"/>
      <c r="F43" s="9"/>
      <c r="G43" s="9"/>
      <c r="H43" s="9"/>
      <c r="I43" s="9"/>
      <c r="J43" s="9"/>
      <c r="K43" s="124"/>
      <c r="L43" s="61"/>
      <c r="M43" s="62"/>
    </row>
    <row r="44" spans="2:13" x14ac:dyDescent="0.35">
      <c r="B44" s="31" t="s">
        <v>13</v>
      </c>
      <c r="C44" s="31" t="s">
        <v>14</v>
      </c>
      <c r="D44" s="63"/>
      <c r="E44" s="63"/>
      <c r="F44" s="63"/>
      <c r="G44" s="63"/>
      <c r="H44" s="63"/>
      <c r="I44" s="63"/>
      <c r="J44" s="64"/>
      <c r="K44" s="125"/>
      <c r="L44" s="93"/>
      <c r="M44" s="94"/>
    </row>
    <row r="45" spans="2:13" x14ac:dyDescent="0.35">
      <c r="B45" s="4" t="s">
        <v>34</v>
      </c>
      <c r="C45" s="4" t="s">
        <v>68</v>
      </c>
      <c r="D45" s="16"/>
      <c r="E45" s="16"/>
      <c r="F45" s="16"/>
      <c r="G45" s="16"/>
      <c r="H45" s="16"/>
      <c r="I45" s="16"/>
      <c r="J45" s="49"/>
      <c r="K45" s="133"/>
      <c r="L45" s="52">
        <f t="shared" ref="L45:L48" si="13">SUM(D45:K45)</f>
        <v>0</v>
      </c>
      <c r="M45" s="53">
        <f t="shared" ref="M45:M48" si="14">IF($L$11&gt;0, L45/$L$11, 0)</f>
        <v>0</v>
      </c>
    </row>
    <row r="46" spans="2:13" x14ac:dyDescent="0.35">
      <c r="B46" s="4" t="s">
        <v>35</v>
      </c>
      <c r="C46" s="4" t="s">
        <v>69</v>
      </c>
      <c r="D46" s="16"/>
      <c r="E46" s="16"/>
      <c r="F46" s="16"/>
      <c r="G46" s="16"/>
      <c r="H46" s="16"/>
      <c r="I46" s="16"/>
      <c r="J46" s="49"/>
      <c r="K46" s="133"/>
      <c r="L46" s="52">
        <f t="shared" si="13"/>
        <v>0</v>
      </c>
      <c r="M46" s="53">
        <f t="shared" si="14"/>
        <v>0</v>
      </c>
    </row>
    <row r="47" spans="2:13" x14ac:dyDescent="0.35">
      <c r="B47" s="4" t="s">
        <v>36</v>
      </c>
      <c r="C47" s="4" t="s">
        <v>70</v>
      </c>
      <c r="D47" s="16"/>
      <c r="E47" s="16"/>
      <c r="F47" s="16"/>
      <c r="G47" s="16"/>
      <c r="H47" s="16"/>
      <c r="I47" s="16"/>
      <c r="J47" s="49"/>
      <c r="K47" s="133"/>
      <c r="L47" s="52">
        <f t="shared" si="13"/>
        <v>0</v>
      </c>
      <c r="M47" s="53">
        <f t="shared" si="14"/>
        <v>0</v>
      </c>
    </row>
    <row r="48" spans="2:13" x14ac:dyDescent="0.35">
      <c r="B48" s="4" t="s">
        <v>37</v>
      </c>
      <c r="C48" s="4" t="s">
        <v>71</v>
      </c>
      <c r="D48" s="16"/>
      <c r="E48" s="16"/>
      <c r="F48" s="16"/>
      <c r="G48" s="16"/>
      <c r="H48" s="16"/>
      <c r="I48" s="16"/>
      <c r="J48" s="49"/>
      <c r="K48" s="133"/>
      <c r="L48" s="52">
        <f t="shared" si="13"/>
        <v>0</v>
      </c>
      <c r="M48" s="53">
        <f t="shared" si="14"/>
        <v>0</v>
      </c>
    </row>
    <row r="49" spans="2:13" x14ac:dyDescent="0.35">
      <c r="B49" s="31"/>
      <c r="C49" s="28" t="s">
        <v>176</v>
      </c>
      <c r="D49" s="86"/>
      <c r="E49" s="86"/>
      <c r="F49" s="86"/>
      <c r="G49" s="86"/>
      <c r="H49" s="86"/>
      <c r="I49" s="86"/>
      <c r="J49" s="87"/>
      <c r="K49" s="126"/>
      <c r="L49" s="84">
        <f>SUM(L45:L48)</f>
        <v>0</v>
      </c>
      <c r="M49" s="85">
        <f>SUM(M45:M48)</f>
        <v>0</v>
      </c>
    </row>
    <row r="50" spans="2:13" x14ac:dyDescent="0.35">
      <c r="B50" s="31"/>
      <c r="C50" s="28" t="s">
        <v>173</v>
      </c>
      <c r="D50" s="115"/>
      <c r="E50" s="115"/>
      <c r="F50" s="115"/>
      <c r="G50" s="115"/>
      <c r="H50" s="115"/>
      <c r="I50" s="115"/>
      <c r="J50" s="116"/>
      <c r="K50" s="126"/>
      <c r="L50" s="84">
        <f>SUM(L46:L49)</f>
        <v>0</v>
      </c>
      <c r="M50" s="85">
        <f>SUM(M46:M49)</f>
        <v>0</v>
      </c>
    </row>
    <row r="51" spans="2:13" s="7" customFormat="1" x14ac:dyDescent="0.35">
      <c r="B51" s="28">
        <v>3</v>
      </c>
      <c r="C51" s="28" t="s">
        <v>24</v>
      </c>
      <c r="D51" s="15">
        <f>SUM(D49:D50)</f>
        <v>0</v>
      </c>
      <c r="E51" s="15">
        <f t="shared" ref="E51" si="15">SUM(E49:E50)</f>
        <v>0</v>
      </c>
      <c r="F51" s="15">
        <f t="shared" ref="F51" si="16">SUM(F49:F50)</f>
        <v>0</v>
      </c>
      <c r="G51" s="15">
        <f t="shared" ref="G51" si="17">SUM(G49:G50)</f>
        <v>0</v>
      </c>
      <c r="H51" s="15">
        <f t="shared" ref="H51" si="18">SUM(H49:H50)</f>
        <v>0</v>
      </c>
      <c r="I51" s="15">
        <f t="shared" ref="I51" si="19">SUM(I49:I50)</f>
        <v>0</v>
      </c>
      <c r="J51" s="48">
        <f t="shared" ref="J51" si="20">SUM(J49:J50)</f>
        <v>0</v>
      </c>
      <c r="K51" s="127"/>
      <c r="L51" s="54">
        <f>SUM(L45:L48)</f>
        <v>0</v>
      </c>
      <c r="M51" s="55">
        <f>SUM(M45:M48)</f>
        <v>0</v>
      </c>
    </row>
    <row r="52" spans="2:13" s="7" customFormat="1" ht="4.5" customHeight="1" x14ac:dyDescent="0.35">
      <c r="D52" s="19"/>
      <c r="E52" s="19"/>
      <c r="F52" s="19"/>
      <c r="G52" s="19"/>
      <c r="H52" s="19"/>
      <c r="I52" s="19"/>
      <c r="J52" s="19"/>
      <c r="K52" s="128"/>
      <c r="L52" s="56"/>
      <c r="M52" s="57"/>
    </row>
    <row r="53" spans="2:13" x14ac:dyDescent="0.35">
      <c r="B53" s="8">
        <v>4</v>
      </c>
      <c r="C53" s="9" t="s">
        <v>25</v>
      </c>
      <c r="D53" s="15">
        <f>D32+D41+D51</f>
        <v>0</v>
      </c>
      <c r="E53" s="15">
        <f t="shared" ref="E53:J53" si="21">E32+E41+E51</f>
        <v>0</v>
      </c>
      <c r="F53" s="15">
        <f t="shared" si="21"/>
        <v>0</v>
      </c>
      <c r="G53" s="15">
        <f t="shared" si="21"/>
        <v>0</v>
      </c>
      <c r="H53" s="15">
        <f t="shared" si="21"/>
        <v>0</v>
      </c>
      <c r="I53" s="15">
        <f t="shared" si="21"/>
        <v>0</v>
      </c>
      <c r="J53" s="48">
        <f t="shared" si="21"/>
        <v>0</v>
      </c>
      <c r="K53" s="127"/>
      <c r="L53" s="54">
        <f>SUM(L32+L41+L51)</f>
        <v>0</v>
      </c>
      <c r="M53" s="55">
        <f>M32+M41+M51</f>
        <v>0</v>
      </c>
    </row>
    <row r="54" spans="2:13" s="7" customFormat="1" ht="7.5" customHeight="1" x14ac:dyDescent="0.35">
      <c r="K54" s="129"/>
      <c r="L54" s="56"/>
      <c r="M54" s="57"/>
    </row>
    <row r="55" spans="2:13" x14ac:dyDescent="0.35">
      <c r="B55" s="27">
        <v>5</v>
      </c>
      <c r="C55" s="21" t="s">
        <v>87</v>
      </c>
      <c r="D55" s="16"/>
      <c r="E55" s="6"/>
      <c r="F55" s="6"/>
      <c r="G55" s="6"/>
      <c r="H55" s="6"/>
      <c r="I55" s="6"/>
      <c r="J55" s="122"/>
      <c r="K55" s="134"/>
      <c r="L55" s="52">
        <f t="shared" ref="L55:L57" si="22">SUM(D55:K55)</f>
        <v>0</v>
      </c>
      <c r="M55" s="53">
        <f t="shared" ref="M55:M57" si="23">IF($L$11&gt;0, L55/$L$11, 0)</f>
        <v>0</v>
      </c>
    </row>
    <row r="56" spans="2:13" x14ac:dyDescent="0.35">
      <c r="B56" s="27">
        <v>6</v>
      </c>
      <c r="C56" s="21" t="s">
        <v>78</v>
      </c>
      <c r="D56" s="16"/>
      <c r="E56" s="6"/>
      <c r="F56" s="6"/>
      <c r="G56" s="6"/>
      <c r="H56" s="6"/>
      <c r="I56" s="6"/>
      <c r="J56" s="122"/>
      <c r="K56" s="134"/>
      <c r="L56" s="52">
        <f t="shared" si="22"/>
        <v>0</v>
      </c>
      <c r="M56" s="53">
        <f t="shared" si="23"/>
        <v>0</v>
      </c>
    </row>
    <row r="57" spans="2:13" x14ac:dyDescent="0.35">
      <c r="B57" s="27">
        <v>7</v>
      </c>
      <c r="C57" s="21" t="s">
        <v>79</v>
      </c>
      <c r="D57" s="16"/>
      <c r="E57" s="6"/>
      <c r="F57" s="6"/>
      <c r="G57" s="6"/>
      <c r="H57" s="6"/>
      <c r="I57" s="6"/>
      <c r="J57" s="122"/>
      <c r="K57" s="134"/>
      <c r="L57" s="52">
        <f t="shared" si="22"/>
        <v>0</v>
      </c>
      <c r="M57" s="53">
        <f t="shared" si="23"/>
        <v>0</v>
      </c>
    </row>
    <row r="58" spans="2:13" s="7" customFormat="1" ht="7.5" customHeight="1" x14ac:dyDescent="0.35">
      <c r="K58" s="129"/>
      <c r="L58" s="56"/>
      <c r="M58" s="57"/>
    </row>
    <row r="59" spans="2:13" x14ac:dyDescent="0.35">
      <c r="B59" s="8"/>
      <c r="C59" s="9" t="s">
        <v>110</v>
      </c>
      <c r="D59" s="15">
        <f>D53+SUM(D55:D57)</f>
        <v>0</v>
      </c>
      <c r="E59" s="15">
        <f t="shared" ref="E59:J59" si="24">E53+SUM(E55:E57)</f>
        <v>0</v>
      </c>
      <c r="F59" s="15">
        <f t="shared" si="24"/>
        <v>0</v>
      </c>
      <c r="G59" s="15">
        <f t="shared" si="24"/>
        <v>0</v>
      </c>
      <c r="H59" s="15">
        <f t="shared" si="24"/>
        <v>0</v>
      </c>
      <c r="I59" s="15">
        <f t="shared" si="24"/>
        <v>0</v>
      </c>
      <c r="J59" s="48">
        <f t="shared" si="24"/>
        <v>0</v>
      </c>
      <c r="K59" s="127"/>
      <c r="L59" s="54">
        <f>SUM(D59:K59)</f>
        <v>0</v>
      </c>
      <c r="M59" s="55"/>
    </row>
    <row r="60" spans="2:13" ht="15" thickBot="1" x14ac:dyDescent="0.4">
      <c r="B60" s="8">
        <v>8</v>
      </c>
      <c r="C60" s="9" t="s">
        <v>111</v>
      </c>
      <c r="D60" s="15">
        <f t="shared" ref="D60:J60" si="25">D59/$L$11</f>
        <v>0</v>
      </c>
      <c r="E60" s="15">
        <f t="shared" si="25"/>
        <v>0</v>
      </c>
      <c r="F60" s="15">
        <f t="shared" si="25"/>
        <v>0</v>
      </c>
      <c r="G60" s="15">
        <f t="shared" si="25"/>
        <v>0</v>
      </c>
      <c r="H60" s="15">
        <f t="shared" si="25"/>
        <v>0</v>
      </c>
      <c r="I60" s="15">
        <f t="shared" si="25"/>
        <v>0</v>
      </c>
      <c r="J60" s="48">
        <f t="shared" si="25"/>
        <v>0</v>
      </c>
      <c r="K60" s="130"/>
      <c r="L60" s="58"/>
      <c r="M60" s="59">
        <f>SUM(D60:K60)</f>
        <v>0</v>
      </c>
    </row>
    <row r="61" spans="2:13" ht="15" thickBot="1" x14ac:dyDescent="0.4"/>
    <row r="62" spans="2:13" ht="15" thickBot="1" x14ac:dyDescent="0.4">
      <c r="B62" s="8"/>
      <c r="C62" s="9" t="s">
        <v>237</v>
      </c>
      <c r="D62" s="16"/>
      <c r="E62" s="6"/>
      <c r="F62" s="6"/>
      <c r="G62" s="6"/>
      <c r="H62" s="6"/>
      <c r="I62" s="6"/>
      <c r="J62" s="122"/>
      <c r="K62" s="171"/>
      <c r="L62" s="172"/>
      <c r="M62" s="100">
        <f>'PBF1'!I57</f>
        <v>0</v>
      </c>
    </row>
    <row r="63" spans="2:13" ht="10" customHeight="1" thickBot="1" x14ac:dyDescent="0.4"/>
    <row r="64" spans="2:13" ht="15" thickBot="1" x14ac:dyDescent="0.4">
      <c r="B64" s="8"/>
      <c r="C64" s="9" t="s">
        <v>122</v>
      </c>
      <c r="D64" s="9"/>
      <c r="E64" s="9"/>
      <c r="F64" s="9"/>
      <c r="G64" s="9"/>
      <c r="H64" s="9"/>
      <c r="I64" s="9"/>
      <c r="J64" s="9"/>
      <c r="K64" s="142" t="s">
        <v>124</v>
      </c>
      <c r="L64" s="95"/>
      <c r="M64" s="96"/>
    </row>
    <row r="65" spans="2:13" s="7" customFormat="1" x14ac:dyDescent="0.35">
      <c r="B65" s="8" t="s">
        <v>128</v>
      </c>
      <c r="C65" s="9" t="s">
        <v>116</v>
      </c>
      <c r="D65" s="9"/>
      <c r="E65" s="9"/>
      <c r="F65" s="9"/>
      <c r="G65" s="9"/>
      <c r="H65" s="9"/>
      <c r="I65" s="9"/>
      <c r="J65" s="9"/>
      <c r="K65" s="137">
        <f>'PBF1'!I63</f>
        <v>0</v>
      </c>
      <c r="L65" s="97"/>
      <c r="M65" s="114">
        <f>K65</f>
        <v>0</v>
      </c>
    </row>
    <row r="66" spans="2:13" ht="15" thickBot="1" x14ac:dyDescent="0.4">
      <c r="B66" s="8" t="s">
        <v>129</v>
      </c>
      <c r="C66" s="9" t="s">
        <v>115</v>
      </c>
      <c r="D66" s="9"/>
      <c r="E66" s="9"/>
      <c r="F66" s="9"/>
      <c r="G66" s="9"/>
      <c r="H66" s="9"/>
      <c r="I66" s="9"/>
      <c r="J66" s="9"/>
      <c r="K66" s="138">
        <f>'PBF1'!I64</f>
        <v>0</v>
      </c>
      <c r="L66" s="98"/>
      <c r="M66" s="113">
        <f>K66</f>
        <v>0</v>
      </c>
    </row>
    <row r="67" spans="2:13" ht="10.5" customHeight="1" thickBot="1" x14ac:dyDescent="0.4">
      <c r="H67" s="17"/>
      <c r="I67" s="17"/>
    </row>
    <row r="68" spans="2:13" s="7" customFormat="1" ht="22.5" customHeight="1" thickBot="1" x14ac:dyDescent="0.4">
      <c r="B68" s="8">
        <v>10</v>
      </c>
      <c r="C68" s="9" t="s">
        <v>140</v>
      </c>
      <c r="D68" s="15">
        <f>D60+D62</f>
        <v>0</v>
      </c>
      <c r="E68" s="15">
        <f t="shared" ref="E68:J68" si="26">E60+E62</f>
        <v>0</v>
      </c>
      <c r="F68" s="15">
        <f t="shared" si="26"/>
        <v>0</v>
      </c>
      <c r="G68" s="15">
        <f t="shared" si="26"/>
        <v>0</v>
      </c>
      <c r="H68" s="15">
        <f t="shared" si="26"/>
        <v>0</v>
      </c>
      <c r="I68" s="15">
        <f t="shared" si="26"/>
        <v>0</v>
      </c>
      <c r="J68" s="15">
        <f t="shared" si="26"/>
        <v>0</v>
      </c>
      <c r="K68" s="15">
        <f>SUM(K65:K66)</f>
        <v>0</v>
      </c>
      <c r="L68" s="99"/>
      <c r="M68" s="100">
        <f>M60+M62+SUM(M65:M66)</f>
        <v>0</v>
      </c>
    </row>
    <row r="70" spans="2:13" s="7" customFormat="1" ht="22.5" customHeight="1" x14ac:dyDescent="0.35">
      <c r="B70" s="8"/>
      <c r="C70" s="9" t="s">
        <v>118</v>
      </c>
      <c r="D70" s="81"/>
      <c r="E70" s="81"/>
      <c r="F70" s="81"/>
      <c r="G70" s="81"/>
      <c r="H70" s="81"/>
      <c r="I70" s="81"/>
      <c r="J70" s="82"/>
      <c r="K70" s="3"/>
      <c r="L70" s="3"/>
      <c r="M70" s="83">
        <f>SUM(D70:J70)</f>
        <v>0</v>
      </c>
    </row>
    <row r="71" spans="2:13" s="7" customFormat="1" ht="22.5" customHeight="1" x14ac:dyDescent="0.35">
      <c r="B71" s="8"/>
      <c r="C71" s="9" t="s">
        <v>117</v>
      </c>
      <c r="D71" s="83">
        <f>D70</f>
        <v>0</v>
      </c>
      <c r="E71" s="83">
        <f>D71+E70</f>
        <v>0</v>
      </c>
      <c r="F71" s="83">
        <f t="shared" ref="F71:J71" si="27">E71+F70</f>
        <v>0</v>
      </c>
      <c r="G71" s="83">
        <f t="shared" si="27"/>
        <v>0</v>
      </c>
      <c r="H71" s="83">
        <f t="shared" si="27"/>
        <v>0</v>
      </c>
      <c r="I71" s="83">
        <f t="shared" si="27"/>
        <v>0</v>
      </c>
      <c r="J71" s="83">
        <f t="shared" si="27"/>
        <v>0</v>
      </c>
      <c r="K71" s="3"/>
      <c r="L71" s="3"/>
      <c r="M71" s="3"/>
    </row>
    <row r="72" spans="2:13" s="7" customFormat="1" ht="22.5" customHeight="1" x14ac:dyDescent="0.35">
      <c r="B72" s="8"/>
      <c r="C72" s="9" t="s">
        <v>131</v>
      </c>
      <c r="D72" s="83">
        <f>D68</f>
        <v>0</v>
      </c>
      <c r="E72" s="83">
        <f>D72+E68</f>
        <v>0</v>
      </c>
      <c r="F72" s="83">
        <f t="shared" ref="F72:J72" si="28">E72+F68</f>
        <v>0</v>
      </c>
      <c r="G72" s="83">
        <f t="shared" si="28"/>
        <v>0</v>
      </c>
      <c r="H72" s="83">
        <f t="shared" si="28"/>
        <v>0</v>
      </c>
      <c r="I72" s="83">
        <f t="shared" si="28"/>
        <v>0</v>
      </c>
      <c r="J72" s="83">
        <f t="shared" si="28"/>
        <v>0</v>
      </c>
      <c r="K72" s="3"/>
      <c r="L72" s="3"/>
      <c r="M72" s="3"/>
    </row>
    <row r="74" spans="2:13" x14ac:dyDescent="0.35">
      <c r="B74" s="3" t="s">
        <v>234</v>
      </c>
    </row>
  </sheetData>
  <mergeCells count="1">
    <mergeCell ref="D13:F13"/>
  </mergeCells>
  <dataValidations count="1">
    <dataValidation type="list" allowBlank="1" showInputMessage="1" showErrorMessage="1" sqref="D16" xr:uid="{A8D86242-4FCB-48FD-812C-C30F8D29A4FA}">
      <formula1>"month, quarter, year"</formula1>
    </dataValidation>
  </dataValidations>
  <pageMargins left="0.7" right="0.7" top="1.1811023622047201" bottom="0.75" header="0.3" footer="0.3"/>
  <pageSetup paperSize="9" orientation="portrait" r:id="rId1"/>
  <headerFooter scaleWithDoc="0">
    <oddHeader>&amp;L&amp;"Arial,Regular"&amp;9ESA UNCLASSIFIED - For ESA Official Use Only&amp;R&amp;G</oddHeader>
    <oddFooter>&amp;L&amp;"Arial,Regular"&amp;9Page &amp;P / &amp;N
ESA STANDARD PRICE BREAKDOWN FORMS
Issue/Revision: 6.0&amp;R&amp;G</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E6BD1-C50E-4ACC-ACFA-356A95D6E619}">
  <dimension ref="B2:Q49"/>
  <sheetViews>
    <sheetView topLeftCell="A8" zoomScaleNormal="100" workbookViewId="0">
      <selection activeCell="L19" sqref="L19"/>
    </sheetView>
  </sheetViews>
  <sheetFormatPr defaultColWidth="8.6328125" defaultRowHeight="14.5" x14ac:dyDescent="0.35"/>
  <cols>
    <col min="1" max="1" width="2.81640625" style="3" customWidth="1"/>
    <col min="2" max="2" width="14.453125" style="3" customWidth="1"/>
    <col min="3" max="3" width="36.26953125" style="3" customWidth="1"/>
    <col min="4" max="4" width="24.81640625" style="3" customWidth="1"/>
    <col min="5" max="5" width="10.54296875" style="3" customWidth="1"/>
    <col min="6" max="6" width="16.81640625" style="3" customWidth="1"/>
    <col min="7" max="7" width="3.54296875" style="3" customWidth="1"/>
    <col min="8" max="8" width="22.6328125" style="3" bestFit="1" customWidth="1"/>
    <col min="9" max="9" width="22.453125" style="3" bestFit="1" customWidth="1"/>
    <col min="10" max="10" width="20.1796875" style="3" bestFit="1" customWidth="1"/>
    <col min="11" max="11" width="24" style="3" customWidth="1"/>
    <col min="12" max="13" width="20.1796875" style="3" customWidth="1"/>
    <col min="14" max="14" width="3" style="3" customWidth="1"/>
    <col min="15" max="16384" width="8.6328125" style="3"/>
  </cols>
  <sheetData>
    <row r="2" spans="2:17" ht="40" customHeight="1" x14ac:dyDescent="0.35">
      <c r="B2" s="101" t="s">
        <v>15</v>
      </c>
      <c r="C2" s="102" t="s">
        <v>61</v>
      </c>
      <c r="D2" s="21"/>
      <c r="E2" s="21"/>
      <c r="F2" s="21"/>
      <c r="G2" s="21"/>
      <c r="H2" s="21"/>
      <c r="I2" s="21"/>
      <c r="J2" s="21"/>
      <c r="K2" s="36" t="s">
        <v>139</v>
      </c>
      <c r="L2" s="25" t="s">
        <v>208</v>
      </c>
      <c r="M2" s="2" t="str">
        <f>'PBF1'!I2</f>
        <v>(date)</v>
      </c>
    </row>
    <row r="3" spans="2:17" ht="7" customHeight="1" x14ac:dyDescent="0.35">
      <c r="B3" s="11"/>
      <c r="C3" s="11"/>
      <c r="D3" s="11"/>
      <c r="E3" s="11"/>
      <c r="F3" s="11"/>
      <c r="G3" s="11"/>
      <c r="H3" s="11"/>
      <c r="I3" s="11"/>
      <c r="J3" s="11"/>
      <c r="K3" s="11"/>
      <c r="L3" s="11"/>
      <c r="M3" s="11"/>
    </row>
    <row r="4" spans="2:17" ht="7" customHeight="1" x14ac:dyDescent="0.35">
      <c r="B4" s="12"/>
      <c r="C4" s="12"/>
      <c r="D4" s="12"/>
      <c r="E4" s="12"/>
      <c r="F4" s="12"/>
      <c r="G4" s="12"/>
      <c r="H4" s="12"/>
      <c r="I4" s="12"/>
      <c r="J4" s="12"/>
      <c r="K4" s="12"/>
      <c r="L4" s="12"/>
      <c r="M4" s="12"/>
    </row>
    <row r="5" spans="2:17" x14ac:dyDescent="0.35">
      <c r="C5" s="31" t="s">
        <v>0</v>
      </c>
      <c r="D5" s="4">
        <f>'PBF1'!D5</f>
        <v>0</v>
      </c>
      <c r="K5" s="31" t="s">
        <v>123</v>
      </c>
      <c r="L5" s="35" t="str">
        <f>'PBF1'!H5</f>
        <v>name</v>
      </c>
      <c r="M5" s="35" t="str">
        <f>'PBF1'!I5</f>
        <v>country</v>
      </c>
    </row>
    <row r="6" spans="2:17" x14ac:dyDescent="0.35">
      <c r="C6" s="31" t="s">
        <v>32</v>
      </c>
      <c r="D6" s="4">
        <f>'PBF1'!D6</f>
        <v>0</v>
      </c>
      <c r="K6" s="31" t="s">
        <v>33</v>
      </c>
      <c r="L6" s="35" t="str">
        <f>'PBF1'!H6</f>
        <v>LE</v>
      </c>
      <c r="M6" s="35" t="str">
        <f>'PBF1'!I6</f>
        <v>BU</v>
      </c>
    </row>
    <row r="7" spans="2:17" x14ac:dyDescent="0.35">
      <c r="K7" s="31" t="s">
        <v>126</v>
      </c>
      <c r="L7" s="35">
        <f>'PBF1'!H7</f>
        <v>0</v>
      </c>
      <c r="M7" s="35">
        <f>'PBF1'!I7</f>
        <v>0</v>
      </c>
    </row>
    <row r="9" spans="2:17" x14ac:dyDescent="0.35">
      <c r="C9" s="31" t="s">
        <v>221</v>
      </c>
      <c r="D9" s="168">
        <f>'PBF1'!D10</f>
        <v>0</v>
      </c>
      <c r="E9" s="148" t="s">
        <v>209</v>
      </c>
    </row>
    <row r="10" spans="2:17" x14ac:dyDescent="0.35">
      <c r="C10" s="31" t="s">
        <v>3</v>
      </c>
      <c r="D10" s="4">
        <f>'PBF1'!D11</f>
        <v>0</v>
      </c>
      <c r="E10" s="148" t="e">
        <f>_xlfn.XLOOKUP(D10, ptype, ptypet)</f>
        <v>#N/A</v>
      </c>
      <c r="K10" s="31" t="s">
        <v>4</v>
      </c>
      <c r="L10" s="35" t="str">
        <f>'PBF1'!H10</f>
        <v>EUR</v>
      </c>
      <c r="M10" s="35">
        <f>'PBF1'!I10</f>
        <v>0</v>
      </c>
    </row>
    <row r="11" spans="2:17" x14ac:dyDescent="0.35">
      <c r="K11" s="31" t="s">
        <v>5</v>
      </c>
      <c r="L11" s="35">
        <f>'PBF1'!H11</f>
        <v>1</v>
      </c>
      <c r="M11" s="89" t="str">
        <f>IF(L10="", "EUR", L10)</f>
        <v>EUR</v>
      </c>
    </row>
    <row r="12" spans="2:17" x14ac:dyDescent="0.35">
      <c r="C12" s="3" t="s">
        <v>11</v>
      </c>
    </row>
    <row r="13" spans="2:17" x14ac:dyDescent="0.35">
      <c r="B13" s="23"/>
      <c r="C13" s="31" t="s">
        <v>217</v>
      </c>
      <c r="D13" s="179">
        <f>'PBF1'!D13</f>
        <v>0</v>
      </c>
      <c r="E13" s="180"/>
      <c r="F13" s="180"/>
      <c r="L13" s="31" t="s">
        <v>6</v>
      </c>
      <c r="M13" s="169">
        <f>'PBF1'!I13</f>
        <v>0</v>
      </c>
    </row>
    <row r="14" spans="2:17" ht="7.5" customHeight="1" x14ac:dyDescent="0.35">
      <c r="B14" s="22"/>
      <c r="C14" s="11"/>
      <c r="D14" s="11"/>
      <c r="E14" s="22"/>
      <c r="F14" s="22"/>
      <c r="G14" s="22"/>
      <c r="H14" s="22"/>
      <c r="I14" s="22"/>
      <c r="J14" s="22"/>
      <c r="K14" s="22"/>
      <c r="L14" s="11"/>
      <c r="M14" s="11"/>
    </row>
    <row r="15" spans="2:17" ht="7.5" customHeight="1" x14ac:dyDescent="0.35">
      <c r="B15" s="12"/>
      <c r="C15" s="12"/>
      <c r="D15" s="12"/>
      <c r="E15" s="12"/>
      <c r="F15" s="12"/>
      <c r="G15" s="12"/>
      <c r="H15" s="12"/>
      <c r="I15" s="12"/>
      <c r="J15" s="12"/>
      <c r="K15" s="12"/>
      <c r="L15" s="12"/>
      <c r="M15" s="12"/>
    </row>
    <row r="16" spans="2:17" s="7" customFormat="1" x14ac:dyDescent="0.35">
      <c r="B16" s="8" t="s">
        <v>143</v>
      </c>
      <c r="C16" s="9"/>
      <c r="D16" s="9"/>
      <c r="E16" s="9"/>
      <c r="F16" s="9"/>
      <c r="G16" s="9"/>
      <c r="H16" s="9"/>
      <c r="I16" s="9"/>
      <c r="J16" s="9"/>
      <c r="K16" s="9"/>
      <c r="L16" s="9"/>
      <c r="M16" s="67"/>
      <c r="Q16" s="3"/>
    </row>
    <row r="17" spans="2:17" x14ac:dyDescent="0.35">
      <c r="B17" s="31" t="s">
        <v>39</v>
      </c>
      <c r="C17" s="31" t="s">
        <v>40</v>
      </c>
      <c r="D17" s="31" t="s">
        <v>178</v>
      </c>
      <c r="E17" s="31" t="s">
        <v>42</v>
      </c>
      <c r="F17" s="31" t="s">
        <v>83</v>
      </c>
      <c r="G17" s="31"/>
      <c r="H17" s="31" t="s">
        <v>177</v>
      </c>
      <c r="I17" s="3" t="s">
        <v>109</v>
      </c>
      <c r="J17" s="3" t="s">
        <v>224</v>
      </c>
      <c r="K17" s="31" t="s">
        <v>243</v>
      </c>
      <c r="L17" s="3" t="s">
        <v>223</v>
      </c>
      <c r="M17" s="3" t="s">
        <v>225</v>
      </c>
      <c r="O17" s="7"/>
      <c r="P17" s="7"/>
    </row>
    <row r="18" spans="2:17" x14ac:dyDescent="0.35">
      <c r="B18" s="4"/>
      <c r="C18" s="4"/>
      <c r="D18" s="18"/>
      <c r="E18" s="18"/>
      <c r="F18" s="18"/>
      <c r="G18" s="31"/>
      <c r="H18" s="18"/>
      <c r="I18" s="18"/>
      <c r="J18" s="18"/>
      <c r="K18" s="16"/>
      <c r="L18" s="16">
        <f>IF(J18=0, 0, ROUND(J18/K18, 2))</f>
        <v>0</v>
      </c>
      <c r="M18" s="16">
        <f t="shared" ref="M18:M21" si="0">IF($L$11&gt;0, L18/$L$11, 0)</f>
        <v>0</v>
      </c>
      <c r="O18" s="7"/>
      <c r="P18" s="7"/>
    </row>
    <row r="19" spans="2:17" x14ac:dyDescent="0.35">
      <c r="B19" s="4"/>
      <c r="C19" s="4"/>
      <c r="D19" s="18"/>
      <c r="E19" s="18"/>
      <c r="F19" s="18"/>
      <c r="G19" s="31"/>
      <c r="H19" s="18"/>
      <c r="I19" s="18"/>
      <c r="J19" s="18"/>
      <c r="K19" s="16"/>
      <c r="L19" s="16">
        <f t="shared" ref="L19:L21" si="1">IF(J19=0, 0, ROUND(J19/K19, 2))</f>
        <v>0</v>
      </c>
      <c r="M19" s="16">
        <f>IF($L$11&gt;0, L19/$L$11, 0)</f>
        <v>0</v>
      </c>
      <c r="O19" s="7"/>
      <c r="P19" s="7"/>
    </row>
    <row r="20" spans="2:17" x14ac:dyDescent="0.35">
      <c r="B20" s="4"/>
      <c r="C20" s="4"/>
      <c r="D20" s="18"/>
      <c r="E20" s="18"/>
      <c r="F20" s="18"/>
      <c r="G20" s="31"/>
      <c r="H20" s="18"/>
      <c r="I20" s="18"/>
      <c r="J20" s="18"/>
      <c r="K20" s="16"/>
      <c r="L20" s="16">
        <f t="shared" si="1"/>
        <v>0</v>
      </c>
      <c r="M20" s="16">
        <f t="shared" si="0"/>
        <v>0</v>
      </c>
      <c r="O20" s="7"/>
      <c r="P20" s="7"/>
      <c r="Q20" s="110"/>
    </row>
    <row r="21" spans="2:17" x14ac:dyDescent="0.35">
      <c r="B21" s="4"/>
      <c r="C21" s="4"/>
      <c r="D21" s="18"/>
      <c r="E21" s="18"/>
      <c r="F21" s="18"/>
      <c r="G21" s="31"/>
      <c r="H21" s="18"/>
      <c r="I21" s="18"/>
      <c r="J21" s="18"/>
      <c r="K21" s="16"/>
      <c r="L21" s="16">
        <f t="shared" si="1"/>
        <v>0</v>
      </c>
      <c r="M21" s="16">
        <f t="shared" si="0"/>
        <v>0</v>
      </c>
      <c r="O21" s="7"/>
      <c r="P21" s="7"/>
      <c r="Q21" s="110"/>
    </row>
    <row r="22" spans="2:17" s="7" customFormat="1" x14ac:dyDescent="0.35">
      <c r="B22" s="24" t="s">
        <v>43</v>
      </c>
      <c r="C22" s="7" t="s">
        <v>45</v>
      </c>
      <c r="D22" s="19"/>
      <c r="E22" s="19"/>
      <c r="F22" s="19"/>
      <c r="G22" s="19"/>
      <c r="H22" s="19"/>
      <c r="I22" s="19"/>
      <c r="J22" s="19"/>
      <c r="K22" s="14"/>
      <c r="L22" s="14">
        <f>SUM(L18:L21)</f>
        <v>0</v>
      </c>
      <c r="M22" s="14">
        <f>SUM(M18:M21)</f>
        <v>0</v>
      </c>
      <c r="Q22" s="110"/>
    </row>
    <row r="23" spans="2:17" s="7" customFormat="1" x14ac:dyDescent="0.35">
      <c r="B23" s="40"/>
      <c r="D23" s="19"/>
      <c r="E23" s="19"/>
      <c r="F23" s="19"/>
      <c r="G23" s="19"/>
      <c r="H23" s="19"/>
      <c r="I23" s="19"/>
      <c r="J23" s="19"/>
      <c r="K23" s="42" t="s">
        <v>84</v>
      </c>
      <c r="L23" s="41">
        <f>SUMIF($F$18:$F$21, "Yes", L18:L21)</f>
        <v>0</v>
      </c>
      <c r="M23" s="41">
        <f>SUMIF($F$18:$F$21, "Yes", M18:M21)</f>
        <v>0</v>
      </c>
      <c r="Q23" s="110"/>
    </row>
    <row r="24" spans="2:17" s="7" customFormat="1" x14ac:dyDescent="0.35">
      <c r="D24" s="19"/>
      <c r="E24" s="19"/>
      <c r="F24" s="19"/>
      <c r="G24" s="19"/>
      <c r="H24" s="19"/>
      <c r="I24" s="19"/>
      <c r="J24" s="19"/>
      <c r="K24" s="14"/>
      <c r="L24" s="14"/>
      <c r="M24" s="14"/>
      <c r="Q24" s="110"/>
    </row>
    <row r="25" spans="2:17" s="7" customFormat="1" x14ac:dyDescent="0.35">
      <c r="B25" s="8" t="s">
        <v>144</v>
      </c>
      <c r="C25" s="9"/>
      <c r="D25" s="9"/>
      <c r="E25" s="9"/>
      <c r="F25" s="9"/>
      <c r="G25" s="9"/>
      <c r="H25" s="9"/>
      <c r="I25" s="9"/>
      <c r="J25" s="9"/>
      <c r="K25" s="9"/>
      <c r="L25" s="9"/>
      <c r="M25" s="67"/>
    </row>
    <row r="26" spans="2:17" x14ac:dyDescent="0.35">
      <c r="B26" s="31" t="s">
        <v>39</v>
      </c>
      <c r="C26" s="31" t="s">
        <v>40</v>
      </c>
      <c r="D26" s="31" t="s">
        <v>130</v>
      </c>
      <c r="E26" s="31" t="s">
        <v>31</v>
      </c>
      <c r="F26" s="31" t="s">
        <v>150</v>
      </c>
      <c r="G26" s="31"/>
      <c r="H26" s="31"/>
      <c r="I26" s="3" t="s">
        <v>109</v>
      </c>
      <c r="J26" s="3" t="s">
        <v>224</v>
      </c>
      <c r="K26" s="31" t="s">
        <v>243</v>
      </c>
      <c r="L26" s="3" t="s">
        <v>223</v>
      </c>
      <c r="M26" s="3" t="s">
        <v>225</v>
      </c>
    </row>
    <row r="27" spans="2:17" x14ac:dyDescent="0.35">
      <c r="B27" s="4"/>
      <c r="C27" s="4"/>
      <c r="D27" s="4"/>
      <c r="E27" s="4"/>
      <c r="F27" s="18"/>
      <c r="G27" s="31"/>
      <c r="H27" s="31"/>
      <c r="I27" s="18"/>
      <c r="J27" s="18"/>
      <c r="K27" s="16"/>
      <c r="L27" s="16">
        <f>IF(J27=0, 0, ROUND(J27/K27, 2))</f>
        <v>0</v>
      </c>
      <c r="M27" s="16">
        <f t="shared" ref="M27:M30" si="2">IF($L$11&gt;0, L27/$L$11, 0)</f>
        <v>0</v>
      </c>
    </row>
    <row r="28" spans="2:17" x14ac:dyDescent="0.35">
      <c r="B28" s="4"/>
      <c r="C28" s="4"/>
      <c r="D28" s="4"/>
      <c r="E28" s="4"/>
      <c r="F28" s="18"/>
      <c r="G28" s="31"/>
      <c r="H28" s="31"/>
      <c r="I28" s="18"/>
      <c r="J28" s="4"/>
      <c r="K28" s="16"/>
      <c r="L28" s="16">
        <f t="shared" ref="L28:L30" si="3">IF(J28=0, 0, ROUND(J28/K28, 2))</f>
        <v>0</v>
      </c>
      <c r="M28" s="16">
        <f t="shared" si="2"/>
        <v>0</v>
      </c>
    </row>
    <row r="29" spans="2:17" x14ac:dyDescent="0.35">
      <c r="B29" s="4"/>
      <c r="C29" s="4"/>
      <c r="D29" s="4"/>
      <c r="E29" s="4"/>
      <c r="F29" s="18"/>
      <c r="G29" s="31"/>
      <c r="H29" s="31"/>
      <c r="I29" s="18"/>
      <c r="J29" s="4"/>
      <c r="K29" s="16"/>
      <c r="L29" s="16">
        <f t="shared" si="3"/>
        <v>0</v>
      </c>
      <c r="M29" s="16">
        <f t="shared" si="2"/>
        <v>0</v>
      </c>
    </row>
    <row r="30" spans="2:17" x14ac:dyDescent="0.35">
      <c r="B30" s="4"/>
      <c r="C30" s="4"/>
      <c r="D30" s="4"/>
      <c r="E30" s="4"/>
      <c r="F30" s="18"/>
      <c r="G30" s="31"/>
      <c r="H30" s="31"/>
      <c r="I30" s="18"/>
      <c r="J30" s="4"/>
      <c r="K30" s="16"/>
      <c r="L30" s="16">
        <f t="shared" si="3"/>
        <v>0</v>
      </c>
      <c r="M30" s="16">
        <f t="shared" si="2"/>
        <v>0</v>
      </c>
    </row>
    <row r="31" spans="2:17" s="7" customFormat="1" x14ac:dyDescent="0.35">
      <c r="B31" s="24" t="s">
        <v>44</v>
      </c>
      <c r="C31" s="7" t="s">
        <v>48</v>
      </c>
      <c r="K31" s="14"/>
      <c r="L31" s="14">
        <f>SUM(L27:L30)</f>
        <v>0</v>
      </c>
      <c r="M31" s="14">
        <f>SUM(M27:M30)</f>
        <v>0</v>
      </c>
    </row>
    <row r="32" spans="2:17" s="7" customFormat="1" x14ac:dyDescent="0.35">
      <c r="B32" s="103"/>
      <c r="K32" s="42" t="s">
        <v>149</v>
      </c>
      <c r="L32" s="41">
        <f>SUMIF($F$27:$F$30, "Yes", L27:L30)</f>
        <v>0</v>
      </c>
      <c r="M32" s="41">
        <f>SUMIF($F$27:$F$30, "Yes", M27:M30)</f>
        <v>0</v>
      </c>
    </row>
    <row r="33" spans="2:13" s="7" customFormat="1" x14ac:dyDescent="0.35">
      <c r="K33" s="14"/>
      <c r="L33" s="14"/>
      <c r="M33" s="14"/>
    </row>
    <row r="34" spans="2:13" s="7" customFormat="1" x14ac:dyDescent="0.35">
      <c r="B34" s="8" t="s">
        <v>145</v>
      </c>
      <c r="C34" s="9"/>
      <c r="D34" s="9"/>
      <c r="E34" s="9"/>
      <c r="F34" s="9"/>
      <c r="G34" s="9"/>
      <c r="H34" s="9"/>
      <c r="I34" s="9"/>
      <c r="J34" s="9"/>
      <c r="K34" s="9"/>
      <c r="L34" s="9"/>
      <c r="M34" s="67"/>
    </row>
    <row r="35" spans="2:13" x14ac:dyDescent="0.35">
      <c r="B35" s="31" t="s">
        <v>39</v>
      </c>
      <c r="C35" s="31" t="s">
        <v>40</v>
      </c>
      <c r="D35" s="31"/>
      <c r="E35" s="31"/>
      <c r="F35" s="31"/>
      <c r="G35" s="31"/>
      <c r="H35" s="31"/>
      <c r="I35" s="3" t="s">
        <v>109</v>
      </c>
      <c r="J35" s="3" t="s">
        <v>224</v>
      </c>
      <c r="K35" s="31" t="s">
        <v>243</v>
      </c>
      <c r="L35" s="3" t="s">
        <v>223</v>
      </c>
      <c r="M35" s="3" t="s">
        <v>225</v>
      </c>
    </row>
    <row r="36" spans="2:13" x14ac:dyDescent="0.35">
      <c r="B36" s="4"/>
      <c r="C36" s="4"/>
      <c r="D36" s="45"/>
      <c r="E36" s="45"/>
      <c r="F36" s="45"/>
      <c r="G36" s="45"/>
      <c r="H36" s="45"/>
      <c r="I36" s="18"/>
      <c r="J36" s="20"/>
      <c r="K36" s="16"/>
      <c r="L36" s="16">
        <f>IF(J36=0, 0, ROUND(J36/K36, 2))</f>
        <v>0</v>
      </c>
      <c r="M36" s="16">
        <f t="shared" ref="M36:M39" si="4">IF($L$11&gt;0, L36/$L$11, 0)</f>
        <v>0</v>
      </c>
    </row>
    <row r="37" spans="2:13" x14ac:dyDescent="0.35">
      <c r="B37" s="4"/>
      <c r="C37" s="4"/>
      <c r="D37" s="45"/>
      <c r="E37" s="45"/>
      <c r="F37" s="45"/>
      <c r="G37" s="45"/>
      <c r="H37" s="45"/>
      <c r="I37" s="18"/>
      <c r="J37" s="20"/>
      <c r="K37" s="16"/>
      <c r="L37" s="16">
        <f t="shared" ref="L37:L39" si="5">IF(J37=0, 0, ROUND(J37/K37, 2))</f>
        <v>0</v>
      </c>
      <c r="M37" s="16">
        <f t="shared" si="4"/>
        <v>0</v>
      </c>
    </row>
    <row r="38" spans="2:13" x14ac:dyDescent="0.35">
      <c r="B38" s="4"/>
      <c r="C38" s="4"/>
      <c r="D38" s="45"/>
      <c r="E38" s="45"/>
      <c r="F38" s="45"/>
      <c r="G38" s="45"/>
      <c r="H38" s="45"/>
      <c r="I38" s="18"/>
      <c r="J38" s="20"/>
      <c r="K38" s="16"/>
      <c r="L38" s="16">
        <f t="shared" si="5"/>
        <v>0</v>
      </c>
      <c r="M38" s="16">
        <f t="shared" si="4"/>
        <v>0</v>
      </c>
    </row>
    <row r="39" spans="2:13" x14ac:dyDescent="0.35">
      <c r="B39" s="4"/>
      <c r="C39" s="4"/>
      <c r="D39" s="45"/>
      <c r="E39" s="45"/>
      <c r="F39" s="45"/>
      <c r="G39" s="45"/>
      <c r="H39" s="45"/>
      <c r="I39" s="18"/>
      <c r="J39" s="20"/>
      <c r="K39" s="16"/>
      <c r="L39" s="16">
        <f t="shared" si="5"/>
        <v>0</v>
      </c>
      <c r="M39" s="16">
        <f t="shared" si="4"/>
        <v>0</v>
      </c>
    </row>
    <row r="40" spans="2:13" s="7" customFormat="1" x14ac:dyDescent="0.35">
      <c r="B40" s="24" t="s">
        <v>46</v>
      </c>
      <c r="C40" s="7" t="s">
        <v>146</v>
      </c>
      <c r="D40" s="14"/>
      <c r="E40" s="14"/>
      <c r="F40" s="14"/>
      <c r="G40" s="14"/>
      <c r="H40" s="14"/>
      <c r="I40" s="14"/>
      <c r="K40" s="14"/>
      <c r="L40" s="14">
        <f>SUM(L36:L39)</f>
        <v>0</v>
      </c>
      <c r="M40" s="14">
        <f>SUM(M36:M39)</f>
        <v>0</v>
      </c>
    </row>
    <row r="41" spans="2:13" s="7" customFormat="1" x14ac:dyDescent="0.35">
      <c r="D41" s="14"/>
      <c r="E41" s="14"/>
      <c r="F41" s="14"/>
      <c r="G41" s="3"/>
      <c r="H41" s="14"/>
      <c r="I41" s="14"/>
      <c r="K41" s="14"/>
      <c r="L41" s="14"/>
      <c r="M41" s="14"/>
    </row>
    <row r="42" spans="2:13" s="7" customFormat="1" x14ac:dyDescent="0.35">
      <c r="B42" s="3" t="s">
        <v>238</v>
      </c>
      <c r="G42" s="3"/>
      <c r="L42" s="14"/>
      <c r="M42" s="14"/>
    </row>
    <row r="45" spans="2:13" x14ac:dyDescent="0.35">
      <c r="D45" s="149" t="s">
        <v>178</v>
      </c>
    </row>
    <row r="46" spans="2:13" x14ac:dyDescent="0.35">
      <c r="D46" s="147" t="s">
        <v>82</v>
      </c>
    </row>
    <row r="47" spans="2:13" x14ac:dyDescent="0.35">
      <c r="D47" s="147" t="s">
        <v>179</v>
      </c>
    </row>
    <row r="48" spans="2:13" x14ac:dyDescent="0.35">
      <c r="D48" s="147" t="s">
        <v>180</v>
      </c>
    </row>
    <row r="49" spans="4:4" x14ac:dyDescent="0.35">
      <c r="D49" s="147" t="s">
        <v>148</v>
      </c>
    </row>
  </sheetData>
  <mergeCells count="1">
    <mergeCell ref="D13:F13"/>
  </mergeCells>
  <dataValidations count="2">
    <dataValidation type="list" allowBlank="1" showInputMessage="1" showErrorMessage="1" sqref="F27:F30 F18:F21 H18:H21" xr:uid="{813F0797-0EE6-4024-BE38-4B99C1F5F00A}">
      <formula1>"Yes, No"</formula1>
    </dataValidation>
    <dataValidation type="list" allowBlank="1" showInputMessage="1" showErrorMessage="1" sqref="D18:D21" xr:uid="{90C0961C-68EA-459A-A930-7C45543EC545}">
      <formula1>mtype</formula1>
    </dataValidation>
  </dataValidations>
  <pageMargins left="0.7" right="0.7" top="1.1811023622047201" bottom="0.75" header="0.3" footer="0.3"/>
  <pageSetup paperSize="9" orientation="portrait" r:id="rId1"/>
  <headerFooter scaleWithDoc="0">
    <oddHeader>&amp;L&amp;"Arial,Regular"&amp;9ESA UNCLASSIFIED - For ESA Official Use Only&amp;R&amp;G</oddHeader>
    <oddFooter>&amp;L&amp;"Arial,Regular"&amp;9Page &amp;P / &amp;N
ESA STANDARD PRICE BREAKDOWN FORMS
Issue/Revision: 6.0&amp;R&amp;G</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6794-FCFA-45F6-9FF9-CEA577444B6A}">
  <dimension ref="B2:L41"/>
  <sheetViews>
    <sheetView topLeftCell="A6" zoomScaleNormal="100" workbookViewId="0">
      <selection activeCell="B41" sqref="B41"/>
    </sheetView>
  </sheetViews>
  <sheetFormatPr defaultColWidth="8.6328125" defaultRowHeight="14.5" x14ac:dyDescent="0.35"/>
  <cols>
    <col min="1" max="1" width="2.81640625" style="3" customWidth="1"/>
    <col min="2" max="2" width="14.453125" style="3" customWidth="1"/>
    <col min="3" max="3" width="32.453125" style="3" customWidth="1"/>
    <col min="4" max="5" width="16.81640625" style="3" customWidth="1"/>
    <col min="6" max="8" width="11.453125" style="3" customWidth="1"/>
    <col min="9" max="10" width="22.453125" style="3" customWidth="1"/>
    <col min="11" max="11" width="16.81640625" style="3" customWidth="1"/>
    <col min="12" max="12" width="16.54296875" style="3" bestFit="1" customWidth="1"/>
    <col min="13" max="13" width="3.26953125" style="3" customWidth="1"/>
    <col min="14" max="16384" width="8.6328125" style="3"/>
  </cols>
  <sheetData>
    <row r="2" spans="2:12" ht="40" customHeight="1" x14ac:dyDescent="0.35">
      <c r="B2" s="101" t="s">
        <v>15</v>
      </c>
      <c r="C2" s="102" t="s">
        <v>61</v>
      </c>
      <c r="D2" s="21"/>
      <c r="E2" s="21"/>
      <c r="F2" s="21"/>
      <c r="G2" s="21"/>
      <c r="H2" s="21"/>
      <c r="I2" s="21"/>
      <c r="J2" s="36" t="s">
        <v>138</v>
      </c>
      <c r="K2" s="25" t="s">
        <v>208</v>
      </c>
      <c r="L2" s="2" t="str">
        <f>'PBF1'!I2</f>
        <v>(date)</v>
      </c>
    </row>
    <row r="3" spans="2:12" ht="7" customHeight="1" x14ac:dyDescent="0.35">
      <c r="B3" s="11"/>
      <c r="C3" s="11"/>
      <c r="D3" s="11"/>
      <c r="E3" s="11"/>
      <c r="F3" s="11"/>
      <c r="G3" s="11"/>
      <c r="H3" s="11"/>
      <c r="I3" s="11"/>
      <c r="J3" s="11"/>
      <c r="K3" s="11"/>
      <c r="L3" s="11"/>
    </row>
    <row r="4" spans="2:12" ht="7" customHeight="1" x14ac:dyDescent="0.35">
      <c r="B4" s="12"/>
      <c r="C4" s="12"/>
      <c r="D4" s="12"/>
      <c r="E4" s="12"/>
      <c r="F4" s="12"/>
      <c r="G4" s="12"/>
      <c r="H4" s="12"/>
      <c r="I4" s="12"/>
      <c r="J4" s="12"/>
      <c r="K4" s="12"/>
      <c r="L4" s="12"/>
    </row>
    <row r="5" spans="2:12" x14ac:dyDescent="0.35">
      <c r="C5" s="31" t="s">
        <v>0</v>
      </c>
      <c r="D5" s="4">
        <f>'PBF1'!D5</f>
        <v>0</v>
      </c>
      <c r="J5" s="31" t="s">
        <v>123</v>
      </c>
      <c r="K5" s="35" t="str">
        <f>'PBF1'!H5</f>
        <v>name</v>
      </c>
      <c r="L5" s="35" t="str">
        <f>'PBF1'!I5</f>
        <v>country</v>
      </c>
    </row>
    <row r="6" spans="2:12" x14ac:dyDescent="0.35">
      <c r="C6" s="31" t="s">
        <v>32</v>
      </c>
      <c r="D6" s="4">
        <f>'PBF1'!D6</f>
        <v>0</v>
      </c>
      <c r="J6" s="31" t="s">
        <v>33</v>
      </c>
      <c r="K6" s="35" t="str">
        <f>'PBF1'!H6</f>
        <v>LE</v>
      </c>
      <c r="L6" s="35" t="str">
        <f>'PBF1'!I6</f>
        <v>BU</v>
      </c>
    </row>
    <row r="7" spans="2:12" x14ac:dyDescent="0.35">
      <c r="J7" s="31" t="s">
        <v>126</v>
      </c>
      <c r="K7" s="35">
        <f>'PBF1'!H7</f>
        <v>0</v>
      </c>
      <c r="L7" s="35">
        <f>'PBF1'!I7</f>
        <v>0</v>
      </c>
    </row>
    <row r="9" spans="2:12" x14ac:dyDescent="0.35">
      <c r="C9" s="31" t="s">
        <v>221</v>
      </c>
      <c r="D9" s="168">
        <f>'PBF1'!D10</f>
        <v>0</v>
      </c>
      <c r="E9" s="148" t="s">
        <v>209</v>
      </c>
    </row>
    <row r="10" spans="2:12" x14ac:dyDescent="0.35">
      <c r="C10" s="31" t="s">
        <v>3</v>
      </c>
      <c r="D10" s="4">
        <f>'PBF1'!D11</f>
        <v>0</v>
      </c>
      <c r="E10" s="148" t="e">
        <f>_xlfn.XLOOKUP(D10, ptype, ptypet)</f>
        <v>#N/A</v>
      </c>
      <c r="J10" s="31" t="s">
        <v>4</v>
      </c>
      <c r="K10" s="35" t="str">
        <f>'PBF1'!H10</f>
        <v>EUR</v>
      </c>
      <c r="L10" s="35">
        <f>'PBF1'!I10</f>
        <v>0</v>
      </c>
    </row>
    <row r="11" spans="2:12" x14ac:dyDescent="0.35">
      <c r="J11" s="31" t="s">
        <v>5</v>
      </c>
      <c r="K11" s="35">
        <f>'PBF1'!H11</f>
        <v>1</v>
      </c>
      <c r="L11" s="89" t="str">
        <f>IF(K10="", "EUR", K10)</f>
        <v>EUR</v>
      </c>
    </row>
    <row r="12" spans="2:12" x14ac:dyDescent="0.35">
      <c r="C12" s="3" t="s">
        <v>11</v>
      </c>
    </row>
    <row r="13" spans="2:12" x14ac:dyDescent="0.35">
      <c r="B13" s="23"/>
      <c r="C13" s="31" t="s">
        <v>217</v>
      </c>
      <c r="D13" s="179">
        <f>'PBF1'!D13</f>
        <v>0</v>
      </c>
      <c r="E13" s="180"/>
      <c r="F13" s="180"/>
      <c r="K13" s="31" t="s">
        <v>6</v>
      </c>
      <c r="L13" s="169">
        <f>'PBF1'!I13</f>
        <v>0</v>
      </c>
    </row>
    <row r="14" spans="2:12" ht="7.5" customHeight="1" x14ac:dyDescent="0.35">
      <c r="B14" s="22"/>
      <c r="C14" s="11"/>
      <c r="D14" s="11"/>
      <c r="E14" s="22"/>
      <c r="F14" s="22"/>
      <c r="G14" s="22"/>
      <c r="H14" s="22"/>
      <c r="I14" s="22"/>
      <c r="J14" s="22"/>
      <c r="K14" s="11"/>
      <c r="L14" s="11"/>
    </row>
    <row r="15" spans="2:12" ht="7.5" customHeight="1" x14ac:dyDescent="0.35">
      <c r="B15" s="12"/>
      <c r="C15" s="12"/>
      <c r="D15" s="12"/>
      <c r="E15" s="12"/>
      <c r="F15" s="12"/>
      <c r="G15" s="12"/>
      <c r="H15" s="12"/>
      <c r="I15" s="12"/>
      <c r="J15" s="12"/>
      <c r="K15" s="12"/>
      <c r="L15" s="12"/>
    </row>
    <row r="16" spans="2:12" s="7" customFormat="1" x14ac:dyDescent="0.35">
      <c r="B16" s="8" t="s">
        <v>38</v>
      </c>
      <c r="C16" s="9"/>
      <c r="D16" s="9"/>
      <c r="E16" s="9"/>
      <c r="F16" s="9"/>
      <c r="G16" s="9"/>
      <c r="H16" s="9"/>
      <c r="I16" s="9"/>
      <c r="J16" s="9"/>
      <c r="K16" s="9"/>
      <c r="L16" s="67"/>
    </row>
    <row r="17" spans="2:12" s="26" customFormat="1" ht="29" x14ac:dyDescent="0.35">
      <c r="B17" s="69" t="s">
        <v>39</v>
      </c>
      <c r="C17" s="69" t="s">
        <v>50</v>
      </c>
      <c r="D17" s="69" t="s">
        <v>51</v>
      </c>
      <c r="E17" s="69" t="s">
        <v>52</v>
      </c>
      <c r="F17" s="69" t="s">
        <v>53</v>
      </c>
      <c r="G17" s="69" t="s">
        <v>54</v>
      </c>
      <c r="H17" s="69" t="s">
        <v>55</v>
      </c>
      <c r="I17" s="69" t="s">
        <v>57</v>
      </c>
      <c r="J17" s="69" t="s">
        <v>56</v>
      </c>
      <c r="K17" s="69" t="s">
        <v>227</v>
      </c>
      <c r="L17" s="69" t="s">
        <v>228</v>
      </c>
    </row>
    <row r="18" spans="2:12" x14ac:dyDescent="0.35">
      <c r="B18" s="4"/>
      <c r="C18" s="4"/>
      <c r="D18" s="6"/>
      <c r="E18" s="6"/>
      <c r="F18" s="6"/>
      <c r="G18" s="6"/>
      <c r="H18" s="6"/>
      <c r="I18" s="6"/>
      <c r="J18" s="20"/>
      <c r="K18" s="16">
        <f>F18*(G18*I18+H18*J18)</f>
        <v>0</v>
      </c>
      <c r="L18" s="16">
        <f>IF($K$11&gt;0, K18/$K$11, 0)</f>
        <v>0</v>
      </c>
    </row>
    <row r="19" spans="2:12" x14ac:dyDescent="0.35">
      <c r="B19" s="4"/>
      <c r="C19" s="4"/>
      <c r="D19" s="6"/>
      <c r="E19" s="6"/>
      <c r="F19" s="6"/>
      <c r="G19" s="6"/>
      <c r="H19" s="6"/>
      <c r="I19" s="6"/>
      <c r="J19" s="20"/>
      <c r="K19" s="16">
        <f t="shared" ref="K19:K35" si="0">F19*(G19*I19+H19*J19)</f>
        <v>0</v>
      </c>
      <c r="L19" s="16">
        <f t="shared" ref="L19:L35" si="1">IF($K$11&gt;0, K19/$K$11, 0)</f>
        <v>0</v>
      </c>
    </row>
    <row r="20" spans="2:12" x14ac:dyDescent="0.35">
      <c r="B20" s="4"/>
      <c r="C20" s="4"/>
      <c r="D20" s="6"/>
      <c r="E20" s="6"/>
      <c r="F20" s="6"/>
      <c r="G20" s="6"/>
      <c r="H20" s="6"/>
      <c r="I20" s="6"/>
      <c r="J20" s="20"/>
      <c r="K20" s="16">
        <f t="shared" ref="K20:K34" si="2">F20*(G20*I20+H20*J20)</f>
        <v>0</v>
      </c>
      <c r="L20" s="16">
        <f t="shared" si="1"/>
        <v>0</v>
      </c>
    </row>
    <row r="21" spans="2:12" x14ac:dyDescent="0.35">
      <c r="B21" s="4"/>
      <c r="C21" s="4"/>
      <c r="D21" s="6"/>
      <c r="E21" s="6"/>
      <c r="F21" s="6"/>
      <c r="G21" s="6"/>
      <c r="H21" s="6"/>
      <c r="I21" s="6"/>
      <c r="J21" s="20"/>
      <c r="K21" s="16">
        <f t="shared" si="2"/>
        <v>0</v>
      </c>
      <c r="L21" s="16">
        <f t="shared" si="1"/>
        <v>0</v>
      </c>
    </row>
    <row r="22" spans="2:12" x14ac:dyDescent="0.35">
      <c r="B22" s="4"/>
      <c r="C22" s="4"/>
      <c r="D22" s="6"/>
      <c r="E22" s="6"/>
      <c r="F22" s="6"/>
      <c r="G22" s="6"/>
      <c r="H22" s="6"/>
      <c r="I22" s="6"/>
      <c r="J22" s="20"/>
      <c r="K22" s="16">
        <f t="shared" si="2"/>
        <v>0</v>
      </c>
      <c r="L22" s="16">
        <f t="shared" si="1"/>
        <v>0</v>
      </c>
    </row>
    <row r="23" spans="2:12" x14ac:dyDescent="0.35">
      <c r="B23" s="4"/>
      <c r="C23" s="4"/>
      <c r="D23" s="6"/>
      <c r="E23" s="6"/>
      <c r="F23" s="6"/>
      <c r="G23" s="6"/>
      <c r="H23" s="6"/>
      <c r="I23" s="6"/>
      <c r="J23" s="20"/>
      <c r="K23" s="16">
        <f t="shared" si="2"/>
        <v>0</v>
      </c>
      <c r="L23" s="16">
        <f t="shared" si="1"/>
        <v>0</v>
      </c>
    </row>
    <row r="24" spans="2:12" x14ac:dyDescent="0.35">
      <c r="B24" s="4"/>
      <c r="C24" s="4"/>
      <c r="D24" s="6"/>
      <c r="E24" s="6"/>
      <c r="F24" s="6"/>
      <c r="G24" s="6"/>
      <c r="H24" s="6"/>
      <c r="I24" s="6"/>
      <c r="J24" s="20"/>
      <c r="K24" s="16">
        <f t="shared" si="2"/>
        <v>0</v>
      </c>
      <c r="L24" s="16">
        <f t="shared" si="1"/>
        <v>0</v>
      </c>
    </row>
    <row r="25" spans="2:12" x14ac:dyDescent="0.35">
      <c r="B25" s="4"/>
      <c r="C25" s="4"/>
      <c r="D25" s="6"/>
      <c r="E25" s="6"/>
      <c r="F25" s="6"/>
      <c r="G25" s="6"/>
      <c r="H25" s="6"/>
      <c r="I25" s="6"/>
      <c r="J25" s="20"/>
      <c r="K25" s="16">
        <f t="shared" si="2"/>
        <v>0</v>
      </c>
      <c r="L25" s="16">
        <f t="shared" si="1"/>
        <v>0</v>
      </c>
    </row>
    <row r="26" spans="2:12" x14ac:dyDescent="0.35">
      <c r="B26" s="4"/>
      <c r="C26" s="4"/>
      <c r="D26" s="6"/>
      <c r="E26" s="6"/>
      <c r="F26" s="6"/>
      <c r="G26" s="6"/>
      <c r="H26" s="6"/>
      <c r="I26" s="6"/>
      <c r="J26" s="20"/>
      <c r="K26" s="16">
        <f t="shared" si="2"/>
        <v>0</v>
      </c>
      <c r="L26" s="16">
        <f t="shared" si="1"/>
        <v>0</v>
      </c>
    </row>
    <row r="27" spans="2:12" x14ac:dyDescent="0.35">
      <c r="B27" s="4"/>
      <c r="C27" s="4"/>
      <c r="D27" s="6"/>
      <c r="E27" s="6"/>
      <c r="F27" s="6"/>
      <c r="G27" s="6"/>
      <c r="H27" s="6"/>
      <c r="I27" s="6"/>
      <c r="J27" s="20"/>
      <c r="K27" s="16">
        <f t="shared" si="2"/>
        <v>0</v>
      </c>
      <c r="L27" s="16">
        <f t="shared" si="1"/>
        <v>0</v>
      </c>
    </row>
    <row r="28" spans="2:12" x14ac:dyDescent="0.35">
      <c r="B28" s="4"/>
      <c r="C28" s="4"/>
      <c r="D28" s="6"/>
      <c r="E28" s="6"/>
      <c r="F28" s="6"/>
      <c r="G28" s="6"/>
      <c r="H28" s="6"/>
      <c r="I28" s="6"/>
      <c r="J28" s="20"/>
      <c r="K28" s="16">
        <f t="shared" si="2"/>
        <v>0</v>
      </c>
      <c r="L28" s="16">
        <f t="shared" si="1"/>
        <v>0</v>
      </c>
    </row>
    <row r="29" spans="2:12" x14ac:dyDescent="0.35">
      <c r="B29" s="4"/>
      <c r="C29" s="4"/>
      <c r="D29" s="6"/>
      <c r="E29" s="6"/>
      <c r="F29" s="6"/>
      <c r="G29" s="6"/>
      <c r="H29" s="6"/>
      <c r="I29" s="6"/>
      <c r="J29" s="20"/>
      <c r="K29" s="16">
        <f t="shared" si="2"/>
        <v>0</v>
      </c>
      <c r="L29" s="16">
        <f t="shared" si="1"/>
        <v>0</v>
      </c>
    </row>
    <row r="30" spans="2:12" x14ac:dyDescent="0.35">
      <c r="B30" s="4"/>
      <c r="C30" s="4"/>
      <c r="D30" s="6"/>
      <c r="E30" s="6"/>
      <c r="F30" s="6"/>
      <c r="G30" s="6"/>
      <c r="H30" s="6"/>
      <c r="I30" s="6"/>
      <c r="J30" s="20"/>
      <c r="K30" s="16">
        <f t="shared" si="2"/>
        <v>0</v>
      </c>
      <c r="L30" s="16">
        <f t="shared" si="1"/>
        <v>0</v>
      </c>
    </row>
    <row r="31" spans="2:12" x14ac:dyDescent="0.35">
      <c r="B31" s="4"/>
      <c r="C31" s="4"/>
      <c r="D31" s="6"/>
      <c r="E31" s="6"/>
      <c r="F31" s="6"/>
      <c r="G31" s="6"/>
      <c r="H31" s="6"/>
      <c r="I31" s="6"/>
      <c r="J31" s="20"/>
      <c r="K31" s="16">
        <f t="shared" si="2"/>
        <v>0</v>
      </c>
      <c r="L31" s="16">
        <f t="shared" si="1"/>
        <v>0</v>
      </c>
    </row>
    <row r="32" spans="2:12" x14ac:dyDescent="0.35">
      <c r="B32" s="4"/>
      <c r="C32" s="4"/>
      <c r="D32" s="6"/>
      <c r="E32" s="6"/>
      <c r="F32" s="6"/>
      <c r="G32" s="6"/>
      <c r="H32" s="6"/>
      <c r="I32" s="6"/>
      <c r="J32" s="20"/>
      <c r="K32" s="16">
        <f t="shared" si="2"/>
        <v>0</v>
      </c>
      <c r="L32" s="16">
        <f t="shared" si="1"/>
        <v>0</v>
      </c>
    </row>
    <row r="33" spans="2:12" x14ac:dyDescent="0.35">
      <c r="B33" s="4"/>
      <c r="C33" s="4"/>
      <c r="D33" s="6"/>
      <c r="E33" s="6"/>
      <c r="F33" s="6"/>
      <c r="G33" s="6"/>
      <c r="H33" s="6"/>
      <c r="I33" s="6"/>
      <c r="J33" s="20"/>
      <c r="K33" s="16">
        <f t="shared" si="2"/>
        <v>0</v>
      </c>
      <c r="L33" s="16">
        <f t="shared" si="1"/>
        <v>0</v>
      </c>
    </row>
    <row r="34" spans="2:12" x14ac:dyDescent="0.35">
      <c r="B34" s="4"/>
      <c r="C34" s="4"/>
      <c r="D34" s="6"/>
      <c r="E34" s="6"/>
      <c r="F34" s="6"/>
      <c r="G34" s="6"/>
      <c r="H34" s="6"/>
      <c r="I34" s="6"/>
      <c r="J34" s="20"/>
      <c r="K34" s="16">
        <f t="shared" si="2"/>
        <v>0</v>
      </c>
      <c r="L34" s="16">
        <f t="shared" si="1"/>
        <v>0</v>
      </c>
    </row>
    <row r="35" spans="2:12" x14ac:dyDescent="0.35">
      <c r="B35" s="4"/>
      <c r="C35" s="4"/>
      <c r="D35" s="6"/>
      <c r="E35" s="6"/>
      <c r="F35" s="6"/>
      <c r="G35" s="6"/>
      <c r="H35" s="6"/>
      <c r="I35" s="6"/>
      <c r="J35" s="20"/>
      <c r="K35" s="16">
        <f t="shared" si="0"/>
        <v>0</v>
      </c>
      <c r="L35" s="16">
        <f t="shared" si="1"/>
        <v>0</v>
      </c>
    </row>
    <row r="36" spans="2:12" s="7" customFormat="1" x14ac:dyDescent="0.35">
      <c r="B36" s="24" t="s">
        <v>47</v>
      </c>
      <c r="C36" s="7" t="s">
        <v>49</v>
      </c>
      <c r="K36" s="14">
        <f>SUM(K18:K35)</f>
        <v>0</v>
      </c>
      <c r="L36" s="14">
        <f>SUM(L18:L35)</f>
        <v>0</v>
      </c>
    </row>
    <row r="37" spans="2:12" s="7" customFormat="1" x14ac:dyDescent="0.35">
      <c r="K37" s="14"/>
      <c r="L37" s="14"/>
    </row>
    <row r="38" spans="2:12" x14ac:dyDescent="0.35">
      <c r="C38" s="3" t="s">
        <v>85</v>
      </c>
      <c r="D38" s="181"/>
      <c r="E38" s="182"/>
      <c r="F38" s="182"/>
      <c r="G38" s="182"/>
      <c r="H38" s="183"/>
    </row>
    <row r="39" spans="2:12" s="110" customFormat="1" x14ac:dyDescent="0.35">
      <c r="C39" s="177" t="s">
        <v>151</v>
      </c>
    </row>
    <row r="41" spans="2:12" x14ac:dyDescent="0.35">
      <c r="B41" s="3" t="s">
        <v>238</v>
      </c>
    </row>
  </sheetData>
  <mergeCells count="2">
    <mergeCell ref="D38:H38"/>
    <mergeCell ref="D13:F13"/>
  </mergeCells>
  <pageMargins left="0.7" right="0.7" top="1.1811023622047201" bottom="0.75" header="0.3" footer="0.3"/>
  <pageSetup paperSize="9" orientation="portrait" r:id="rId1"/>
  <headerFooter scaleWithDoc="0">
    <oddHeader>&amp;L&amp;"Arial,Regular"&amp;9ESA UNCLASSIFIED - For ESA Official Use Only&amp;R&amp;G</oddHeader>
    <oddFooter>&amp;L&amp;"Arial,Regular"&amp;9Page &amp;P / &amp;N
ESA STANDARD PRICE BREAKDOWN FORMS
Issue/Revision: 6.0&amp;R&amp;G</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5718C-C2FA-460A-A1F9-2DD2741F753A}">
  <dimension ref="B2:L52"/>
  <sheetViews>
    <sheetView workbookViewId="0">
      <selection activeCell="B18" sqref="B18"/>
    </sheetView>
  </sheetViews>
  <sheetFormatPr defaultColWidth="8.6328125" defaultRowHeight="14.5" x14ac:dyDescent="0.35"/>
  <cols>
    <col min="1" max="1" width="2.81640625" style="3" customWidth="1"/>
    <col min="2" max="2" width="14.453125" style="3" customWidth="1"/>
    <col min="3" max="3" width="36.26953125" style="3" customWidth="1"/>
    <col min="4" max="5" width="16.81640625" style="3" customWidth="1"/>
    <col min="6" max="6" width="22.36328125" style="3" bestFit="1" customWidth="1"/>
    <col min="7" max="7" width="16.6328125" style="3" customWidth="1"/>
    <col min="8" max="8" width="25.36328125" style="3" customWidth="1"/>
    <col min="9" max="9" width="16.81640625" style="3" customWidth="1"/>
    <col min="10" max="10" width="16.54296875" style="3" bestFit="1" customWidth="1"/>
    <col min="11" max="11" width="2.81640625" style="3" customWidth="1"/>
    <col min="12" max="16384" width="8.6328125" style="3"/>
  </cols>
  <sheetData>
    <row r="2" spans="2:10" ht="40" customHeight="1" x14ac:dyDescent="0.35">
      <c r="B2" s="101" t="s">
        <v>15</v>
      </c>
      <c r="C2" s="102" t="s">
        <v>61</v>
      </c>
      <c r="D2" s="21"/>
      <c r="E2" s="21"/>
      <c r="F2" s="21"/>
      <c r="G2" s="21"/>
      <c r="H2" s="36" t="s">
        <v>137</v>
      </c>
      <c r="I2" s="25" t="s">
        <v>208</v>
      </c>
      <c r="J2" s="2" t="str">
        <f>'PBF1'!I2</f>
        <v>(date)</v>
      </c>
    </row>
    <row r="3" spans="2:10" ht="7" customHeight="1" x14ac:dyDescent="0.35">
      <c r="B3" s="11"/>
      <c r="C3" s="11"/>
      <c r="D3" s="11"/>
      <c r="E3" s="11"/>
      <c r="F3" s="11"/>
      <c r="G3" s="11"/>
      <c r="H3" s="11"/>
      <c r="I3" s="11"/>
      <c r="J3" s="11"/>
    </row>
    <row r="4" spans="2:10" ht="7" customHeight="1" x14ac:dyDescent="0.35">
      <c r="B4" s="12"/>
      <c r="C4" s="12"/>
      <c r="D4" s="12"/>
      <c r="E4" s="12"/>
      <c r="F4" s="12"/>
      <c r="G4" s="12"/>
    </row>
    <row r="5" spans="2:10" x14ac:dyDescent="0.35">
      <c r="C5" s="31" t="s">
        <v>0</v>
      </c>
      <c r="D5" s="4">
        <f>'PBF1'!D5</f>
        <v>0</v>
      </c>
      <c r="H5" s="31" t="s">
        <v>123</v>
      </c>
      <c r="I5" s="35" t="str">
        <f>'PBF1'!H5</f>
        <v>name</v>
      </c>
      <c r="J5" s="35" t="str">
        <f>'PBF1'!I5</f>
        <v>country</v>
      </c>
    </row>
    <row r="6" spans="2:10" x14ac:dyDescent="0.35">
      <c r="C6" s="31" t="s">
        <v>32</v>
      </c>
      <c r="D6" s="4">
        <f>'PBF1'!D6</f>
        <v>0</v>
      </c>
      <c r="H6" s="31" t="s">
        <v>33</v>
      </c>
      <c r="I6" s="35" t="str">
        <f>'PBF1'!H6</f>
        <v>LE</v>
      </c>
      <c r="J6" s="35" t="str">
        <f>'PBF1'!I6</f>
        <v>BU</v>
      </c>
    </row>
    <row r="7" spans="2:10" x14ac:dyDescent="0.35">
      <c r="H7" s="31" t="s">
        <v>126</v>
      </c>
      <c r="I7" s="35">
        <f>'PBF1'!H7</f>
        <v>0</v>
      </c>
      <c r="J7" s="35">
        <f>'PBF1'!I7</f>
        <v>0</v>
      </c>
    </row>
    <row r="9" spans="2:10" x14ac:dyDescent="0.35">
      <c r="C9" s="31" t="s">
        <v>221</v>
      </c>
      <c r="D9" s="168">
        <f>'PBF1'!D10</f>
        <v>0</v>
      </c>
      <c r="E9" s="148" t="s">
        <v>209</v>
      </c>
    </row>
    <row r="10" spans="2:10" x14ac:dyDescent="0.35">
      <c r="C10" s="31" t="s">
        <v>3</v>
      </c>
      <c r="D10" s="4">
        <f>'PBF1'!D11</f>
        <v>0</v>
      </c>
      <c r="E10" s="148" t="e">
        <f>_xlfn.XLOOKUP(D10, ptype, ptypet)</f>
        <v>#N/A</v>
      </c>
      <c r="H10" s="31" t="s">
        <v>4</v>
      </c>
      <c r="I10" s="35" t="str">
        <f>'PBF1'!H10</f>
        <v>EUR</v>
      </c>
      <c r="J10" s="35">
        <f>'PBF1'!I10</f>
        <v>0</v>
      </c>
    </row>
    <row r="11" spans="2:10" x14ac:dyDescent="0.35">
      <c r="H11" s="31" t="s">
        <v>5</v>
      </c>
      <c r="I11" s="35">
        <f>'PBF1'!H11</f>
        <v>1</v>
      </c>
      <c r="J11" s="89" t="str">
        <f>IF(I10="", "EUR", I10)</f>
        <v>EUR</v>
      </c>
    </row>
    <row r="12" spans="2:10" x14ac:dyDescent="0.35">
      <c r="C12" s="3" t="s">
        <v>11</v>
      </c>
    </row>
    <row r="13" spans="2:10" x14ac:dyDescent="0.35">
      <c r="B13" s="23"/>
      <c r="C13" s="31" t="s">
        <v>217</v>
      </c>
      <c r="D13" s="179">
        <f>'PBF1'!D13</f>
        <v>0</v>
      </c>
      <c r="E13" s="180"/>
      <c r="F13" s="180"/>
      <c r="I13" s="31" t="s">
        <v>6</v>
      </c>
      <c r="J13" s="169">
        <f>'PBF1'!I13</f>
        <v>0</v>
      </c>
    </row>
    <row r="14" spans="2:10" ht="7.5" customHeight="1" x14ac:dyDescent="0.35">
      <c r="B14" s="22"/>
      <c r="C14" s="11"/>
      <c r="D14" s="11"/>
      <c r="E14" s="22"/>
      <c r="F14" s="22"/>
      <c r="G14" s="22"/>
      <c r="H14" s="22"/>
      <c r="I14" s="11"/>
      <c r="J14" s="11"/>
    </row>
    <row r="15" spans="2:10" ht="7.5" customHeight="1" x14ac:dyDescent="0.35">
      <c r="B15" s="12"/>
      <c r="C15" s="12"/>
      <c r="D15" s="12"/>
      <c r="E15" s="12"/>
      <c r="F15" s="12"/>
      <c r="G15" s="12"/>
      <c r="H15" s="12"/>
      <c r="I15" s="12"/>
      <c r="J15" s="12"/>
    </row>
    <row r="16" spans="2:10" s="7" customFormat="1" x14ac:dyDescent="0.35">
      <c r="B16" s="8" t="s">
        <v>205</v>
      </c>
      <c r="C16" s="9"/>
      <c r="D16" s="9"/>
      <c r="E16" s="9"/>
      <c r="F16" s="9"/>
      <c r="G16" s="9"/>
      <c r="H16" s="9"/>
      <c r="I16" s="9"/>
      <c r="J16" s="67"/>
    </row>
    <row r="17" spans="2:12" x14ac:dyDescent="0.35">
      <c r="B17" s="31" t="s">
        <v>39</v>
      </c>
      <c r="C17" s="31" t="s">
        <v>40</v>
      </c>
      <c r="D17" s="31" t="s">
        <v>204</v>
      </c>
      <c r="E17" s="31"/>
      <c r="F17" s="3" t="s">
        <v>109</v>
      </c>
      <c r="G17" s="31" t="s">
        <v>41</v>
      </c>
      <c r="H17" s="31" t="s">
        <v>243</v>
      </c>
      <c r="I17" s="31" t="s">
        <v>28</v>
      </c>
      <c r="J17" s="31" t="s">
        <v>29</v>
      </c>
    </row>
    <row r="18" spans="2:12" x14ac:dyDescent="0.35">
      <c r="B18" s="4"/>
      <c r="C18" s="4"/>
      <c r="D18" s="18"/>
      <c r="E18" s="46"/>
      <c r="F18" s="18"/>
      <c r="G18" s="18"/>
      <c r="H18" s="16"/>
      <c r="I18" s="16">
        <f>IF(G18=0, 0, G18/H18)</f>
        <v>0</v>
      </c>
      <c r="J18" s="16">
        <f>IF($I$11&gt;0, I18/$I$11, 0)</f>
        <v>0</v>
      </c>
    </row>
    <row r="19" spans="2:12" x14ac:dyDescent="0.35">
      <c r="B19" s="4"/>
      <c r="C19" s="4"/>
      <c r="D19" s="18"/>
      <c r="E19" s="46"/>
      <c r="F19" s="18"/>
      <c r="G19" s="18"/>
      <c r="H19" s="16"/>
      <c r="I19" s="16">
        <f t="shared" ref="I19:I21" si="0">IF(G19=0, 0, G19/H19)</f>
        <v>0</v>
      </c>
      <c r="J19" s="16">
        <f t="shared" ref="J19:J21" si="1">IF($I$11&gt;0, I19/$I$11, 0)</f>
        <v>0</v>
      </c>
    </row>
    <row r="20" spans="2:12" x14ac:dyDescent="0.35">
      <c r="B20" s="4"/>
      <c r="C20" s="4"/>
      <c r="D20" s="18"/>
      <c r="E20" s="46"/>
      <c r="F20" s="18"/>
      <c r="G20" s="18"/>
      <c r="H20" s="16"/>
      <c r="I20" s="16">
        <f t="shared" si="0"/>
        <v>0</v>
      </c>
      <c r="J20" s="16">
        <f t="shared" si="1"/>
        <v>0</v>
      </c>
    </row>
    <row r="21" spans="2:12" x14ac:dyDescent="0.35">
      <c r="B21" s="4"/>
      <c r="C21" s="4"/>
      <c r="D21" s="18"/>
      <c r="E21" s="46"/>
      <c r="F21" s="18"/>
      <c r="G21" s="18"/>
      <c r="H21" s="16"/>
      <c r="I21" s="16">
        <f t="shared" si="0"/>
        <v>0</v>
      </c>
      <c r="J21" s="16">
        <f t="shared" si="1"/>
        <v>0</v>
      </c>
    </row>
    <row r="22" spans="2:12" s="7" customFormat="1" x14ac:dyDescent="0.35">
      <c r="B22" s="24">
        <v>6</v>
      </c>
      <c r="C22" s="7" t="s">
        <v>203</v>
      </c>
      <c r="D22" s="19"/>
      <c r="E22" s="19"/>
      <c r="F22" s="19"/>
      <c r="G22" s="19"/>
      <c r="H22" s="14"/>
      <c r="I22" s="14">
        <f>SUM(I18:I21)</f>
        <v>0</v>
      </c>
      <c r="J22" s="14">
        <f>SUM(J18:J21)</f>
        <v>0</v>
      </c>
    </row>
    <row r="23" spans="2:12" s="7" customFormat="1" x14ac:dyDescent="0.35">
      <c r="B23" s="159"/>
      <c r="C23" s="160"/>
      <c r="D23" s="161"/>
      <c r="E23" s="161"/>
      <c r="F23" s="161"/>
      <c r="G23" s="161"/>
      <c r="H23" s="154"/>
      <c r="I23" s="154"/>
      <c r="J23" s="154"/>
      <c r="K23" s="160"/>
      <c r="L23" s="160"/>
    </row>
    <row r="24" spans="2:12" s="7" customFormat="1" x14ac:dyDescent="0.35">
      <c r="B24" s="162" t="s">
        <v>245</v>
      </c>
      <c r="C24" s="155"/>
      <c r="D24" s="155"/>
      <c r="E24" s="155"/>
      <c r="F24" s="155"/>
      <c r="G24" s="155"/>
      <c r="H24" s="155"/>
      <c r="I24" s="155"/>
      <c r="J24" s="163"/>
      <c r="K24" s="160"/>
      <c r="L24" s="160"/>
    </row>
    <row r="25" spans="2:12" s="7" customFormat="1" x14ac:dyDescent="0.35">
      <c r="B25" s="164" t="s">
        <v>39</v>
      </c>
      <c r="C25" s="164" t="s">
        <v>40</v>
      </c>
      <c r="D25" s="164" t="s">
        <v>204</v>
      </c>
      <c r="E25" s="164"/>
      <c r="F25" s="110"/>
      <c r="G25" s="164"/>
      <c r="H25" s="164"/>
      <c r="I25" s="164"/>
      <c r="J25" s="164" t="s">
        <v>246</v>
      </c>
      <c r="K25" s="160"/>
      <c r="L25" s="160"/>
    </row>
    <row r="26" spans="2:12" s="7" customFormat="1" x14ac:dyDescent="0.35">
      <c r="B26" s="165"/>
      <c r="C26" s="165"/>
      <c r="D26" s="167" t="s">
        <v>220</v>
      </c>
      <c r="E26" s="167"/>
      <c r="F26" s="166"/>
      <c r="G26" s="166"/>
      <c r="H26" s="157"/>
      <c r="I26" s="173" t="s">
        <v>244</v>
      </c>
      <c r="J26" s="157">
        <f>IF(G26=0, 0, G26/H26)</f>
        <v>0</v>
      </c>
      <c r="K26" s="160"/>
      <c r="L26" s="160"/>
    </row>
    <row r="27" spans="2:12" s="7" customFormat="1" x14ac:dyDescent="0.35">
      <c r="B27" s="165"/>
      <c r="C27" s="165"/>
      <c r="D27" s="167" t="s">
        <v>220</v>
      </c>
      <c r="E27" s="167"/>
      <c r="F27" s="166"/>
      <c r="G27" s="166"/>
      <c r="H27" s="157"/>
      <c r="I27" s="173" t="s">
        <v>244</v>
      </c>
      <c r="J27" s="157">
        <f>IF(G27=0, 0, G27/H27)</f>
        <v>0</v>
      </c>
      <c r="K27" s="160"/>
      <c r="L27" s="160"/>
    </row>
    <row r="28" spans="2:12" s="7" customFormat="1" x14ac:dyDescent="0.35">
      <c r="B28" s="165"/>
      <c r="C28" s="165"/>
      <c r="D28" s="167" t="s">
        <v>220</v>
      </c>
      <c r="E28" s="167"/>
      <c r="F28" s="166"/>
      <c r="G28" s="166"/>
      <c r="H28" s="157"/>
      <c r="I28" s="173" t="s">
        <v>244</v>
      </c>
      <c r="J28" s="157">
        <f>IF(G28=0, 0, G28/H28)</f>
        <v>0</v>
      </c>
      <c r="K28" s="160"/>
      <c r="L28" s="160"/>
    </row>
    <row r="29" spans="2:12" s="7" customFormat="1" x14ac:dyDescent="0.35">
      <c r="B29" s="161"/>
      <c r="C29" s="161"/>
      <c r="D29" s="161"/>
      <c r="E29" s="161"/>
      <c r="F29" s="161"/>
      <c r="G29" s="161"/>
      <c r="H29" s="154"/>
      <c r="J29" s="154">
        <f>SUM(J26:J28)</f>
        <v>0</v>
      </c>
      <c r="K29" s="160"/>
      <c r="L29" s="160"/>
    </row>
    <row r="30" spans="2:12" s="7" customFormat="1" x14ac:dyDescent="0.35">
      <c r="B30" s="161"/>
      <c r="C30" s="161"/>
      <c r="D30" s="161"/>
      <c r="E30" s="161"/>
      <c r="F30" s="161"/>
      <c r="G30" s="161"/>
      <c r="H30" s="154"/>
      <c r="I30" s="154"/>
      <c r="J30" s="154"/>
      <c r="K30" s="160"/>
      <c r="L30" s="160"/>
    </row>
    <row r="31" spans="2:12" s="7" customFormat="1" x14ac:dyDescent="0.35">
      <c r="B31" s="162" t="s">
        <v>231</v>
      </c>
      <c r="C31" s="155"/>
      <c r="D31" s="155"/>
      <c r="E31" s="155"/>
      <c r="F31" s="155"/>
      <c r="G31" s="155"/>
      <c r="H31" s="155"/>
      <c r="I31" s="155"/>
      <c r="J31" s="163"/>
      <c r="K31" s="160"/>
      <c r="L31" s="160"/>
    </row>
    <row r="32" spans="2:12" s="7" customFormat="1" x14ac:dyDescent="0.35">
      <c r="B32" s="164" t="s">
        <v>39</v>
      </c>
      <c r="C32" s="164" t="s">
        <v>40</v>
      </c>
      <c r="D32" s="164" t="s">
        <v>204</v>
      </c>
      <c r="E32" s="164"/>
      <c r="F32" s="110" t="s">
        <v>109</v>
      </c>
      <c r="G32" s="164" t="s">
        <v>41</v>
      </c>
      <c r="H32" s="31" t="s">
        <v>243</v>
      </c>
      <c r="I32" s="164" t="s">
        <v>28</v>
      </c>
      <c r="J32" s="164" t="s">
        <v>29</v>
      </c>
      <c r="K32" s="160"/>
      <c r="L32" s="160"/>
    </row>
    <row r="33" spans="2:12" s="7" customFormat="1" x14ac:dyDescent="0.35">
      <c r="B33" s="165"/>
      <c r="C33" s="165"/>
      <c r="D33" s="167" t="s">
        <v>125</v>
      </c>
      <c r="E33" s="167"/>
      <c r="F33" s="166"/>
      <c r="G33" s="166"/>
      <c r="H33" s="157"/>
      <c r="I33" s="157">
        <f>IF(G33=0, 0, G33/H33)</f>
        <v>0</v>
      </c>
      <c r="J33" s="16">
        <f t="shared" ref="J33:J36" si="2">IF($I$11&gt;0, I33/$I$11, 0)</f>
        <v>0</v>
      </c>
      <c r="K33" s="160"/>
      <c r="L33" s="160"/>
    </row>
    <row r="34" spans="2:12" s="7" customFormat="1" x14ac:dyDescent="0.35">
      <c r="B34" s="165"/>
      <c r="C34" s="165"/>
      <c r="D34" s="167" t="s">
        <v>125</v>
      </c>
      <c r="E34" s="167"/>
      <c r="F34" s="166"/>
      <c r="G34" s="166"/>
      <c r="H34" s="157"/>
      <c r="I34" s="157">
        <f t="shared" ref="I34:I36" si="3">IF(G34=0, 0, G34/H34)</f>
        <v>0</v>
      </c>
      <c r="J34" s="16">
        <f t="shared" si="2"/>
        <v>0</v>
      </c>
      <c r="K34" s="160"/>
      <c r="L34" s="160"/>
    </row>
    <row r="35" spans="2:12" s="7" customFormat="1" x14ac:dyDescent="0.35">
      <c r="B35" s="165"/>
      <c r="C35" s="165"/>
      <c r="D35" s="167" t="s">
        <v>125</v>
      </c>
      <c r="E35" s="167"/>
      <c r="F35" s="166"/>
      <c r="G35" s="166"/>
      <c r="H35" s="157"/>
      <c r="I35" s="157">
        <f t="shared" si="3"/>
        <v>0</v>
      </c>
      <c r="J35" s="16">
        <f t="shared" si="2"/>
        <v>0</v>
      </c>
      <c r="K35" s="160"/>
      <c r="L35" s="160"/>
    </row>
    <row r="36" spans="2:12" s="7" customFormat="1" x14ac:dyDescent="0.35">
      <c r="B36" s="165"/>
      <c r="C36" s="165"/>
      <c r="D36" s="167" t="s">
        <v>125</v>
      </c>
      <c r="E36" s="167"/>
      <c r="F36" s="166"/>
      <c r="G36" s="166"/>
      <c r="H36" s="157"/>
      <c r="I36" s="157">
        <f t="shared" si="3"/>
        <v>0</v>
      </c>
      <c r="J36" s="16">
        <f t="shared" si="2"/>
        <v>0</v>
      </c>
      <c r="K36" s="160"/>
      <c r="L36" s="160"/>
    </row>
    <row r="37" spans="2:12" s="7" customFormat="1" x14ac:dyDescent="0.35">
      <c r="B37" s="159" t="s">
        <v>128</v>
      </c>
      <c r="C37" s="160" t="s">
        <v>230</v>
      </c>
      <c r="D37" s="161"/>
      <c r="E37" s="161"/>
      <c r="F37" s="161"/>
      <c r="G37" s="161"/>
      <c r="H37" s="154"/>
      <c r="I37" s="154">
        <f>SUM(I33:I36)</f>
        <v>0</v>
      </c>
      <c r="J37" s="154">
        <f>SUM(J33:J36)</f>
        <v>0</v>
      </c>
      <c r="K37" s="160"/>
      <c r="L37" s="160"/>
    </row>
    <row r="38" spans="2:12" s="7" customFormat="1" x14ac:dyDescent="0.35">
      <c r="B38" s="159"/>
      <c r="C38" s="160"/>
      <c r="D38" s="161"/>
      <c r="E38" s="161"/>
      <c r="F38" s="161"/>
      <c r="G38" s="161"/>
      <c r="H38" s="154"/>
      <c r="I38" s="154"/>
      <c r="J38" s="154"/>
      <c r="K38" s="160"/>
      <c r="L38" s="160"/>
    </row>
    <row r="39" spans="2:12" x14ac:dyDescent="0.35">
      <c r="B39" s="3" t="s">
        <v>238</v>
      </c>
    </row>
    <row r="40" spans="2:12" s="7" customFormat="1" x14ac:dyDescent="0.35">
      <c r="B40" s="159"/>
      <c r="C40" s="160"/>
      <c r="D40" s="161"/>
      <c r="E40" s="161"/>
      <c r="F40" s="161"/>
      <c r="G40" s="161"/>
      <c r="H40" s="154"/>
      <c r="I40" s="154"/>
      <c r="J40" s="154"/>
      <c r="K40" s="160"/>
      <c r="L40" s="160"/>
    </row>
    <row r="41" spans="2:12" s="7" customFormat="1" x14ac:dyDescent="0.35">
      <c r="B41" s="159"/>
      <c r="C41" s="160"/>
      <c r="D41" s="161"/>
      <c r="E41" s="161"/>
      <c r="F41" s="161"/>
      <c r="G41" s="161"/>
      <c r="H41" s="154"/>
      <c r="I41" s="154"/>
      <c r="J41" s="154"/>
      <c r="K41" s="160"/>
      <c r="L41" s="160"/>
    </row>
    <row r="42" spans="2:12" s="7" customFormat="1" x14ac:dyDescent="0.35">
      <c r="B42" s="159"/>
      <c r="C42" s="160"/>
      <c r="D42" s="161"/>
      <c r="E42" s="161"/>
      <c r="F42" s="161"/>
      <c r="G42" s="161"/>
      <c r="H42" s="154"/>
      <c r="I42" s="154"/>
      <c r="J42" s="154"/>
      <c r="K42" s="160"/>
      <c r="L42" s="160"/>
    </row>
    <row r="43" spans="2:12" s="7" customFormat="1" x14ac:dyDescent="0.35">
      <c r="B43" s="164" t="s">
        <v>204</v>
      </c>
      <c r="C43" s="160"/>
      <c r="D43" s="161"/>
      <c r="E43" s="161"/>
      <c r="F43" s="161"/>
      <c r="G43" s="161"/>
      <c r="H43" s="154"/>
      <c r="I43" s="154"/>
      <c r="J43" s="154"/>
      <c r="K43" s="160"/>
      <c r="L43" s="160"/>
    </row>
    <row r="44" spans="2:12" s="7" customFormat="1" x14ac:dyDescent="0.35">
      <c r="B44" s="166" t="s">
        <v>206</v>
      </c>
      <c r="C44" s="110" t="s">
        <v>239</v>
      </c>
      <c r="D44" s="161"/>
      <c r="E44" s="161"/>
      <c r="F44" s="161"/>
      <c r="G44" s="161"/>
      <c r="H44" s="154"/>
      <c r="I44" s="154"/>
      <c r="J44" s="154"/>
      <c r="K44" s="160"/>
      <c r="L44" s="160"/>
    </row>
    <row r="45" spans="2:12" s="7" customFormat="1" x14ac:dyDescent="0.35">
      <c r="B45" s="166" t="s">
        <v>207</v>
      </c>
      <c r="C45" s="110" t="s">
        <v>240</v>
      </c>
      <c r="D45" s="154"/>
      <c r="E45" s="154"/>
      <c r="F45" s="154"/>
      <c r="G45" s="160"/>
      <c r="H45" s="154"/>
      <c r="I45" s="154"/>
      <c r="J45" s="154"/>
      <c r="K45" s="160"/>
      <c r="L45" s="160"/>
    </row>
    <row r="46" spans="2:12" s="7" customFormat="1" x14ac:dyDescent="0.35">
      <c r="B46" s="166" t="s">
        <v>220</v>
      </c>
      <c r="C46" s="110" t="s">
        <v>241</v>
      </c>
      <c r="D46" s="154"/>
      <c r="E46" s="154"/>
      <c r="F46" s="154"/>
      <c r="G46" s="160"/>
      <c r="H46" s="154"/>
      <c r="I46" s="154"/>
      <c r="J46" s="154"/>
      <c r="K46" s="160"/>
      <c r="L46" s="160"/>
    </row>
    <row r="47" spans="2:12" x14ac:dyDescent="0.35">
      <c r="B47" s="166" t="s">
        <v>125</v>
      </c>
      <c r="C47" s="110" t="s">
        <v>242</v>
      </c>
      <c r="D47" s="110"/>
      <c r="E47" s="110"/>
      <c r="F47" s="110"/>
      <c r="G47" s="110"/>
      <c r="H47" s="110"/>
      <c r="I47" s="110"/>
      <c r="J47" s="110"/>
      <c r="K47" s="110"/>
      <c r="L47" s="110"/>
    </row>
    <row r="52" spans="9:9" x14ac:dyDescent="0.35">
      <c r="I52" s="3" t="s">
        <v>108</v>
      </c>
    </row>
  </sheetData>
  <mergeCells count="1">
    <mergeCell ref="D13:F13"/>
  </mergeCells>
  <dataValidations disablePrompts="1" count="1">
    <dataValidation type="list" allowBlank="1" showInputMessage="1" showErrorMessage="1" sqref="D18:D21" xr:uid="{B30B5681-6A6D-4B14-B9B9-BC62D0FB32B6}">
      <formula1>wactype</formula1>
    </dataValidation>
  </dataValidations>
  <pageMargins left="0.7" right="0.7" top="1.1811023622047201" bottom="0.75" header="0.3" footer="0.3"/>
  <pageSetup paperSize="9" orientation="portrait" r:id="rId1"/>
  <headerFooter scaleWithDoc="0">
    <oddHeader>&amp;L&amp;"Arial,Regular"&amp;9ESA UNCLASSIFIED - For ESA Official Use Only&amp;R&amp;G</oddHeader>
    <oddFooter>&amp;L&amp;"Arial,Regular"&amp;9Page &amp;P / &amp;N
ESA STANDARD PRICE BREAKDOWN FORMS
Issue/Revision: 6.0&amp;R&amp;G</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F1C3-911D-4EBA-986A-1690D0C5E866}">
  <dimension ref="B2:J38"/>
  <sheetViews>
    <sheetView workbookViewId="0">
      <selection activeCell="C34" sqref="C34"/>
    </sheetView>
  </sheetViews>
  <sheetFormatPr defaultColWidth="8.6328125" defaultRowHeight="14.5" x14ac:dyDescent="0.35"/>
  <cols>
    <col min="1" max="1" width="2.81640625" style="3" customWidth="1"/>
    <col min="2" max="2" width="14.453125" style="3" customWidth="1"/>
    <col min="3" max="3" width="36.26953125" style="3" customWidth="1"/>
    <col min="4" max="4" width="23.54296875" style="3" customWidth="1"/>
    <col min="5" max="5" width="23" style="3" customWidth="1"/>
    <col min="6" max="8" width="21.81640625" style="3" customWidth="1"/>
    <col min="9" max="9" width="16.81640625" style="3" customWidth="1"/>
    <col min="10" max="10" width="16.54296875" style="3" bestFit="1" customWidth="1"/>
    <col min="11" max="11" width="2.81640625" style="3" customWidth="1"/>
    <col min="12" max="16384" width="8.6328125" style="3"/>
  </cols>
  <sheetData>
    <row r="2" spans="2:10" ht="40" customHeight="1" x14ac:dyDescent="0.35">
      <c r="B2" s="101" t="s">
        <v>15</v>
      </c>
      <c r="C2" s="102" t="s">
        <v>61</v>
      </c>
      <c r="D2" s="21"/>
      <c r="E2" s="21"/>
      <c r="F2" s="36" t="s">
        <v>136</v>
      </c>
      <c r="G2" s="36"/>
      <c r="H2" s="36"/>
      <c r="I2" s="25" t="s">
        <v>208</v>
      </c>
      <c r="J2" s="2" t="str">
        <f>'PBF1'!I2</f>
        <v>(date)</v>
      </c>
    </row>
    <row r="3" spans="2:10" ht="7" customHeight="1" x14ac:dyDescent="0.35">
      <c r="B3" s="11"/>
      <c r="C3" s="11"/>
      <c r="D3" s="11"/>
      <c r="E3" s="11"/>
      <c r="F3" s="11"/>
      <c r="G3" s="11"/>
      <c r="H3" s="11"/>
      <c r="I3" s="11"/>
      <c r="J3" s="11"/>
    </row>
    <row r="4" spans="2:10" ht="7" customHeight="1" x14ac:dyDescent="0.35">
      <c r="B4" s="12"/>
      <c r="C4" s="12"/>
      <c r="D4" s="12"/>
      <c r="E4" s="12"/>
      <c r="F4" s="12"/>
      <c r="G4" s="12"/>
      <c r="H4" s="12"/>
      <c r="I4" s="12"/>
      <c r="J4" s="12"/>
    </row>
    <row r="5" spans="2:10" x14ac:dyDescent="0.35">
      <c r="C5" s="31" t="s">
        <v>0</v>
      </c>
      <c r="D5" s="4">
        <f>'PBF1'!D5</f>
        <v>0</v>
      </c>
      <c r="H5" s="31" t="s">
        <v>123</v>
      </c>
      <c r="I5" s="35" t="str">
        <f>'PBF1'!H5</f>
        <v>name</v>
      </c>
      <c r="J5" s="35" t="str">
        <f>'PBF1'!I5</f>
        <v>country</v>
      </c>
    </row>
    <row r="6" spans="2:10" x14ac:dyDescent="0.35">
      <c r="C6" s="31" t="s">
        <v>32</v>
      </c>
      <c r="D6" s="4">
        <f>'PBF1'!D6</f>
        <v>0</v>
      </c>
      <c r="H6" s="31" t="s">
        <v>33</v>
      </c>
      <c r="I6" s="35" t="str">
        <f>'PBF1'!H6</f>
        <v>LE</v>
      </c>
      <c r="J6" s="35" t="str">
        <f>'PBF1'!I6</f>
        <v>BU</v>
      </c>
    </row>
    <row r="7" spans="2:10" x14ac:dyDescent="0.35">
      <c r="H7" s="31" t="s">
        <v>126</v>
      </c>
      <c r="I7" s="35">
        <f>'PBF1'!H7</f>
        <v>0</v>
      </c>
      <c r="J7" s="35">
        <f>'PBF1'!I7</f>
        <v>0</v>
      </c>
    </row>
    <row r="9" spans="2:10" x14ac:dyDescent="0.35">
      <c r="C9" s="31" t="s">
        <v>221</v>
      </c>
      <c r="D9" s="168">
        <f>'PBF1'!D10</f>
        <v>0</v>
      </c>
      <c r="E9" s="148" t="s">
        <v>209</v>
      </c>
    </row>
    <row r="10" spans="2:10" x14ac:dyDescent="0.35">
      <c r="C10" s="31" t="s">
        <v>3</v>
      </c>
      <c r="D10" s="4">
        <f>'PBF1'!D11</f>
        <v>0</v>
      </c>
      <c r="E10" s="148" t="e">
        <f>_xlfn.XLOOKUP(D10, ptype, ptypet)</f>
        <v>#N/A</v>
      </c>
      <c r="H10" s="31" t="s">
        <v>4</v>
      </c>
      <c r="I10" s="35" t="str">
        <f>'PBF1'!H10</f>
        <v>EUR</v>
      </c>
      <c r="J10" s="35">
        <f>'PBF1'!I10</f>
        <v>0</v>
      </c>
    </row>
    <row r="11" spans="2:10" x14ac:dyDescent="0.35">
      <c r="H11" s="31" t="s">
        <v>5</v>
      </c>
      <c r="I11" s="35">
        <f>'PBF1'!H11</f>
        <v>1</v>
      </c>
      <c r="J11" s="89" t="str">
        <f>IF(I10="", "EUR", I10)</f>
        <v>EUR</v>
      </c>
    </row>
    <row r="12" spans="2:10" x14ac:dyDescent="0.35">
      <c r="C12" s="3" t="s">
        <v>11</v>
      </c>
    </row>
    <row r="13" spans="2:10" x14ac:dyDescent="0.35">
      <c r="B13" s="23"/>
      <c r="C13" s="31" t="s">
        <v>217</v>
      </c>
      <c r="D13" s="179">
        <f>'PBF1'!D13</f>
        <v>0</v>
      </c>
      <c r="E13" s="180"/>
      <c r="F13" s="180"/>
      <c r="I13" s="31" t="s">
        <v>6</v>
      </c>
      <c r="J13" s="169">
        <f>'PBF1'!I13</f>
        <v>0</v>
      </c>
    </row>
    <row r="14" spans="2:10" ht="7.5" customHeight="1" x14ac:dyDescent="0.35">
      <c r="B14" s="22"/>
      <c r="C14" s="11"/>
      <c r="D14" s="11"/>
      <c r="E14" s="22"/>
      <c r="F14" s="22"/>
      <c r="G14" s="22"/>
      <c r="H14" s="22"/>
      <c r="I14" s="11"/>
      <c r="J14" s="11"/>
    </row>
    <row r="15" spans="2:10" ht="7.5" customHeight="1" x14ac:dyDescent="0.35">
      <c r="B15" s="12"/>
      <c r="C15" s="12"/>
      <c r="D15" s="12"/>
      <c r="E15" s="12"/>
      <c r="F15" s="12"/>
      <c r="G15" s="12"/>
      <c r="H15" s="12"/>
      <c r="I15" s="12"/>
      <c r="J15" s="12"/>
    </row>
    <row r="16" spans="2:10" s="7" customFormat="1" x14ac:dyDescent="0.35">
      <c r="B16" s="8" t="s">
        <v>161</v>
      </c>
      <c r="C16" s="9"/>
      <c r="D16" s="9"/>
      <c r="E16" s="9"/>
      <c r="F16" s="9"/>
      <c r="G16" s="9"/>
      <c r="H16" s="9"/>
      <c r="I16" s="9"/>
      <c r="J16" s="67"/>
    </row>
    <row r="17" spans="2:10" x14ac:dyDescent="0.35">
      <c r="B17" s="31" t="s">
        <v>39</v>
      </c>
      <c r="C17" s="31" t="s">
        <v>40</v>
      </c>
      <c r="D17" s="31" t="s">
        <v>135</v>
      </c>
      <c r="E17" s="31" t="s">
        <v>167</v>
      </c>
      <c r="F17" s="131" t="s">
        <v>182</v>
      </c>
      <c r="G17" s="174"/>
      <c r="H17" s="175"/>
      <c r="I17" s="31" t="s">
        <v>106</v>
      </c>
      <c r="J17" s="31" t="s">
        <v>107</v>
      </c>
    </row>
    <row r="18" spans="2:10" x14ac:dyDescent="0.35">
      <c r="B18" s="4"/>
      <c r="C18" s="4"/>
      <c r="D18" s="18"/>
      <c r="E18" s="18"/>
      <c r="F18" s="179"/>
      <c r="G18" s="180"/>
      <c r="H18" s="180"/>
      <c r="I18" s="16"/>
      <c r="J18" s="16">
        <f>IF($I$11&gt;0, I18/$I$11, 0)</f>
        <v>0</v>
      </c>
    </row>
    <row r="19" spans="2:10" x14ac:dyDescent="0.35">
      <c r="B19" s="4"/>
      <c r="C19" s="4"/>
      <c r="D19" s="18"/>
      <c r="E19" s="18"/>
      <c r="F19" s="179"/>
      <c r="G19" s="180"/>
      <c r="H19" s="180"/>
      <c r="I19" s="16"/>
      <c r="J19" s="16">
        <f t="shared" ref="J19:J21" si="0">IF($I$11&gt;0, I19/$I$11, 0)</f>
        <v>0</v>
      </c>
    </row>
    <row r="20" spans="2:10" x14ac:dyDescent="0.35">
      <c r="B20" s="4"/>
      <c r="C20" s="4"/>
      <c r="D20" s="18"/>
      <c r="E20" s="18"/>
      <c r="F20" s="179"/>
      <c r="G20" s="180"/>
      <c r="H20" s="180"/>
      <c r="I20" s="16"/>
      <c r="J20" s="16">
        <f t="shared" si="0"/>
        <v>0</v>
      </c>
    </row>
    <row r="21" spans="2:10" x14ac:dyDescent="0.35">
      <c r="B21" s="4"/>
      <c r="C21" s="4"/>
      <c r="D21" s="18"/>
      <c r="E21" s="18"/>
      <c r="F21" s="179"/>
      <c r="G21" s="180"/>
      <c r="H21" s="180"/>
      <c r="I21" s="16"/>
      <c r="J21" s="16">
        <f t="shared" si="0"/>
        <v>0</v>
      </c>
    </row>
    <row r="22" spans="2:10" s="7" customFormat="1" x14ac:dyDescent="0.35">
      <c r="B22" s="7">
        <v>7</v>
      </c>
      <c r="C22" s="7" t="s">
        <v>26</v>
      </c>
      <c r="D22" s="19"/>
      <c r="E22" s="19"/>
      <c r="G22" s="47"/>
      <c r="H22" s="47" t="s">
        <v>247</v>
      </c>
      <c r="I22" s="14">
        <f>-SUM(I18:I21)</f>
        <v>0</v>
      </c>
      <c r="J22" s="14">
        <f>-SUM(J18:J21)</f>
        <v>0</v>
      </c>
    </row>
    <row r="23" spans="2:10" s="7" customFormat="1" x14ac:dyDescent="0.35">
      <c r="D23" s="19"/>
      <c r="E23" s="19"/>
      <c r="F23" s="14"/>
      <c r="G23" s="14"/>
      <c r="H23" s="14"/>
      <c r="I23" s="14"/>
      <c r="J23" s="14"/>
    </row>
    <row r="24" spans="2:10" s="7" customFormat="1" x14ac:dyDescent="0.35">
      <c r="B24" s="3" t="s">
        <v>238</v>
      </c>
      <c r="D24" s="19"/>
      <c r="E24" s="19"/>
      <c r="F24" s="14"/>
      <c r="G24" s="14"/>
      <c r="H24" s="14"/>
      <c r="I24" s="14"/>
      <c r="J24" s="14"/>
    </row>
    <row r="25" spans="2:10" s="7" customFormat="1" x14ac:dyDescent="0.35">
      <c r="D25" s="19"/>
      <c r="E25" s="19"/>
      <c r="F25" s="14"/>
      <c r="G25" s="14"/>
      <c r="H25" s="14"/>
      <c r="I25" s="14"/>
      <c r="J25" s="14"/>
    </row>
    <row r="26" spans="2:10" s="160" customFormat="1" x14ac:dyDescent="0.35">
      <c r="B26" s="176" t="s">
        <v>184</v>
      </c>
      <c r="D26" s="161"/>
      <c r="E26" s="161"/>
      <c r="F26" s="154"/>
      <c r="G26" s="154"/>
      <c r="H26" s="154"/>
      <c r="I26" s="154"/>
      <c r="J26" s="154"/>
    </row>
    <row r="27" spans="2:10" s="160" customFormat="1" x14ac:dyDescent="0.35">
      <c r="B27" s="176" t="s">
        <v>183</v>
      </c>
      <c r="D27" s="161"/>
      <c r="E27" s="161"/>
      <c r="F27" s="154"/>
      <c r="G27" s="154"/>
      <c r="H27" s="154"/>
      <c r="I27" s="154"/>
      <c r="J27" s="154"/>
    </row>
    <row r="28" spans="2:10" s="110" customFormat="1" x14ac:dyDescent="0.35">
      <c r="B28" s="176" t="s">
        <v>198</v>
      </c>
    </row>
    <row r="29" spans="2:10" s="110" customFormat="1" x14ac:dyDescent="0.35"/>
    <row r="30" spans="2:10" s="110" customFormat="1" x14ac:dyDescent="0.35"/>
    <row r="31" spans="2:10" s="110" customFormat="1" x14ac:dyDescent="0.35"/>
    <row r="32" spans="2:10" s="110" customFormat="1" x14ac:dyDescent="0.35">
      <c r="D32" s="165" t="s">
        <v>135</v>
      </c>
      <c r="E32" s="165" t="s">
        <v>167</v>
      </c>
    </row>
    <row r="33" spans="4:5" s="110" customFormat="1" x14ac:dyDescent="0.35">
      <c r="D33" s="110" t="s">
        <v>134</v>
      </c>
      <c r="E33" s="110" t="s">
        <v>119</v>
      </c>
    </row>
    <row r="34" spans="4:5" s="110" customFormat="1" x14ac:dyDescent="0.35">
      <c r="D34" s="110" t="s">
        <v>199</v>
      </c>
      <c r="E34" s="110" t="s">
        <v>120</v>
      </c>
    </row>
    <row r="35" spans="4:5" s="110" customFormat="1" x14ac:dyDescent="0.35">
      <c r="D35" s="110" t="s">
        <v>200</v>
      </c>
      <c r="E35" s="110" t="s">
        <v>168</v>
      </c>
    </row>
    <row r="36" spans="4:5" s="110" customFormat="1" x14ac:dyDescent="0.35">
      <c r="D36" s="110" t="s">
        <v>201</v>
      </c>
      <c r="E36" s="110" t="s">
        <v>121</v>
      </c>
    </row>
    <row r="37" spans="4:5" s="110" customFormat="1" x14ac:dyDescent="0.35">
      <c r="E37" s="110" t="s">
        <v>181</v>
      </c>
    </row>
    <row r="38" spans="4:5" x14ac:dyDescent="0.35">
      <c r="D38" s="147"/>
      <c r="E38" s="147"/>
    </row>
  </sheetData>
  <mergeCells count="5">
    <mergeCell ref="D13:F13"/>
    <mergeCell ref="F18:H18"/>
    <mergeCell ref="F19:H19"/>
    <mergeCell ref="F20:H20"/>
    <mergeCell ref="F21:H21"/>
  </mergeCells>
  <dataValidations count="2">
    <dataValidation type="list" allowBlank="1" showInputMessage="1" showErrorMessage="1" sqref="D18:D21" xr:uid="{5401337A-E235-451B-A3ED-0389323C3BEC}">
      <formula1>sctype</formula1>
    </dataValidation>
    <dataValidation type="list" allowBlank="1" showInputMessage="1" showErrorMessage="1" sqref="E18:E21" xr:uid="{B3F97D95-A7ED-4F06-8165-8A384F3C489F}">
      <formula1>cover</formula1>
    </dataValidation>
  </dataValidations>
  <pageMargins left="0.7" right="0.7" top="1.1811023622047201" bottom="0.75" header="0.3" footer="0.3"/>
  <pageSetup paperSize="9" orientation="portrait" r:id="rId1"/>
  <headerFooter scaleWithDoc="0">
    <oddHeader>&amp;L&amp;"Arial,Regular"&amp;9ESA UNCLASSIFIED - For ESA Official Use Only&amp;R&amp;G</oddHeader>
    <oddFooter>&amp;L&amp;"Arial,Regular"&amp;9Page &amp;P / &amp;N
ESA STANDARD PRICE BREAKDOWN FORMS
Issue/Revision: 6.0&amp;R&amp;G</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5E07-C59B-4E1B-BF97-92373378DD54}">
  <dimension ref="B2:N57"/>
  <sheetViews>
    <sheetView zoomScaleNormal="100" workbookViewId="0">
      <selection activeCell="G8" sqref="G8"/>
    </sheetView>
  </sheetViews>
  <sheetFormatPr defaultColWidth="8.6328125" defaultRowHeight="14.5" x14ac:dyDescent="0.35"/>
  <cols>
    <col min="1" max="1" width="2.81640625" style="3" customWidth="1"/>
    <col min="2" max="2" width="14.453125" style="3" customWidth="1"/>
    <col min="3" max="3" width="36.26953125" style="3" customWidth="1"/>
    <col min="4" max="6" width="16.81640625" style="3" customWidth="1"/>
    <col min="7" max="7" width="20.81640625" style="3" bestFit="1" customWidth="1"/>
    <col min="8" max="8" width="16.81640625" style="3" customWidth="1"/>
    <col min="9" max="9" width="22.1796875" style="3" bestFit="1" customWidth="1"/>
    <col min="10" max="10" width="21.6328125" style="3" customWidth="1"/>
    <col min="11" max="11" width="5.54296875" style="3" customWidth="1"/>
    <col min="12" max="13" width="21.26953125" style="3" customWidth="1"/>
    <col min="14" max="14" width="3.1796875" style="3" customWidth="1"/>
    <col min="15" max="16384" width="8.6328125" style="3"/>
  </cols>
  <sheetData>
    <row r="2" spans="2:13" ht="40" customHeight="1" x14ac:dyDescent="0.35">
      <c r="B2" s="101" t="s">
        <v>15</v>
      </c>
      <c r="C2" s="102" t="s">
        <v>61</v>
      </c>
      <c r="D2" s="21"/>
      <c r="E2" s="21"/>
      <c r="F2" s="21"/>
      <c r="G2" s="21"/>
      <c r="H2" s="21"/>
      <c r="I2" s="21"/>
      <c r="J2" s="36" t="s">
        <v>185</v>
      </c>
      <c r="K2" s="36"/>
      <c r="L2" s="25" t="s">
        <v>208</v>
      </c>
      <c r="M2" s="2" t="str">
        <f>'PBF1'!I2</f>
        <v>(date)</v>
      </c>
    </row>
    <row r="3" spans="2:13" ht="7" customHeight="1" x14ac:dyDescent="0.35">
      <c r="B3" s="11"/>
      <c r="C3" s="11"/>
      <c r="D3" s="11"/>
      <c r="E3" s="11"/>
      <c r="F3" s="11"/>
      <c r="G3" s="11"/>
      <c r="H3" s="11"/>
      <c r="I3" s="11"/>
      <c r="J3" s="11"/>
      <c r="K3" s="11"/>
      <c r="L3" s="11"/>
      <c r="M3" s="11"/>
    </row>
    <row r="4" spans="2:13" ht="7" customHeight="1" x14ac:dyDescent="0.35">
      <c r="B4" s="12"/>
      <c r="C4" s="12"/>
      <c r="D4" s="12"/>
      <c r="E4" s="12"/>
      <c r="F4" s="12"/>
      <c r="G4" s="12"/>
      <c r="H4" s="12"/>
      <c r="I4" s="12"/>
      <c r="J4" s="12"/>
      <c r="K4" s="12"/>
      <c r="L4" s="12"/>
      <c r="M4" s="12"/>
    </row>
    <row r="5" spans="2:13" x14ac:dyDescent="0.35">
      <c r="C5" s="31" t="s">
        <v>0</v>
      </c>
      <c r="D5" s="4">
        <f>'PBF1'!D5</f>
        <v>0</v>
      </c>
      <c r="J5" s="186" t="s">
        <v>123</v>
      </c>
      <c r="K5" s="187"/>
      <c r="L5" s="35" t="str">
        <f>'PBF1'!H5</f>
        <v>name</v>
      </c>
      <c r="M5" s="35" t="str">
        <f>'PBF1'!I5</f>
        <v>country</v>
      </c>
    </row>
    <row r="6" spans="2:13" x14ac:dyDescent="0.35">
      <c r="C6" s="31" t="s">
        <v>32</v>
      </c>
      <c r="D6" s="4">
        <f>'PBF1'!D6</f>
        <v>0</v>
      </c>
      <c r="J6" s="186" t="s">
        <v>33</v>
      </c>
      <c r="K6" s="187"/>
      <c r="L6" s="35" t="str">
        <f>'PBF1'!H6</f>
        <v>LE</v>
      </c>
      <c r="M6" s="35" t="str">
        <f>'PBF1'!I6</f>
        <v>BU</v>
      </c>
    </row>
    <row r="7" spans="2:13" x14ac:dyDescent="0.35">
      <c r="J7" s="186" t="s">
        <v>126</v>
      </c>
      <c r="K7" s="187"/>
      <c r="L7" s="35">
        <f>'PBF1'!H7</f>
        <v>0</v>
      </c>
      <c r="M7" s="35">
        <f>'PBF1'!I7</f>
        <v>0</v>
      </c>
    </row>
    <row r="9" spans="2:13" x14ac:dyDescent="0.35">
      <c r="C9" s="3" t="s">
        <v>11</v>
      </c>
    </row>
    <row r="10" spans="2:13" x14ac:dyDescent="0.35">
      <c r="B10" s="23"/>
      <c r="C10" s="31" t="s">
        <v>217</v>
      </c>
      <c r="D10" s="179">
        <f>'PBF1'!D10</f>
        <v>0</v>
      </c>
      <c r="E10" s="180"/>
      <c r="F10" s="180"/>
      <c r="L10" s="31" t="s">
        <v>6</v>
      </c>
      <c r="M10" s="169">
        <f>'PBF1'!I13</f>
        <v>0</v>
      </c>
    </row>
    <row r="11" spans="2:13" ht="7.5" customHeight="1" x14ac:dyDescent="0.35">
      <c r="B11" s="22"/>
      <c r="C11" s="11"/>
      <c r="D11" s="11"/>
      <c r="E11" s="22"/>
      <c r="F11" s="22"/>
      <c r="G11" s="22"/>
      <c r="H11" s="22"/>
      <c r="I11" s="22"/>
      <c r="J11" s="22"/>
      <c r="K11" s="22"/>
      <c r="L11" s="11"/>
      <c r="M11" s="11"/>
    </row>
    <row r="12" spans="2:13" ht="7.5" customHeight="1" x14ac:dyDescent="0.35">
      <c r="B12" s="12"/>
      <c r="C12" s="12"/>
      <c r="D12" s="12"/>
      <c r="E12" s="12"/>
      <c r="F12" s="12"/>
      <c r="G12" s="12"/>
      <c r="H12" s="12"/>
      <c r="I12" s="12"/>
      <c r="J12" s="12"/>
      <c r="K12" s="12"/>
      <c r="L12" s="12"/>
      <c r="M12" s="12"/>
    </row>
    <row r="13" spans="2:13" s="7" customFormat="1" x14ac:dyDescent="0.35">
      <c r="B13" s="8" t="s">
        <v>165</v>
      </c>
      <c r="C13" s="9"/>
      <c r="D13" s="9"/>
      <c r="E13" s="9"/>
      <c r="F13" s="9"/>
      <c r="G13" s="9"/>
      <c r="H13" s="9"/>
      <c r="I13" s="9"/>
      <c r="J13" s="9"/>
      <c r="K13" s="9"/>
      <c r="L13" s="9"/>
      <c r="M13" s="67"/>
    </row>
    <row r="14" spans="2:13" x14ac:dyDescent="0.35">
      <c r="B14" s="31" t="s">
        <v>67</v>
      </c>
      <c r="C14" s="31" t="s">
        <v>30</v>
      </c>
      <c r="D14" s="31" t="s">
        <v>31</v>
      </c>
      <c r="E14" s="31" t="s">
        <v>2</v>
      </c>
      <c r="F14" s="31" t="s">
        <v>105</v>
      </c>
      <c r="G14" s="131"/>
      <c r="H14" s="31" t="s">
        <v>29</v>
      </c>
      <c r="I14" s="31" t="s">
        <v>212</v>
      </c>
      <c r="J14" s="31" t="s">
        <v>213</v>
      </c>
      <c r="K14" s="14"/>
      <c r="L14" s="184" t="s">
        <v>222</v>
      </c>
      <c r="M14" s="185"/>
    </row>
    <row r="15" spans="2:13" x14ac:dyDescent="0.35">
      <c r="B15" s="4"/>
      <c r="C15" s="4"/>
      <c r="D15" s="18"/>
      <c r="E15" s="18"/>
      <c r="F15" s="18"/>
      <c r="G15" s="18"/>
      <c r="H15" s="18"/>
      <c r="I15" s="18"/>
      <c r="J15" s="16"/>
      <c r="K15" s="14"/>
      <c r="L15" s="16"/>
      <c r="M15" s="111">
        <f>IF(J15&gt;0, L15/J15, 0)</f>
        <v>0</v>
      </c>
    </row>
    <row r="16" spans="2:13" x14ac:dyDescent="0.35">
      <c r="B16" s="4"/>
      <c r="C16" s="4"/>
      <c r="D16" s="18"/>
      <c r="E16" s="18"/>
      <c r="F16" s="18"/>
      <c r="G16" s="18"/>
      <c r="H16" s="18"/>
      <c r="I16" s="18"/>
      <c r="J16" s="16"/>
      <c r="K16" s="14"/>
      <c r="L16" s="16"/>
      <c r="M16" s="111">
        <f t="shared" ref="M16:M19" si="0">IF(J16&gt;0, L16/J16, 0)</f>
        <v>0</v>
      </c>
    </row>
    <row r="17" spans="2:13" x14ac:dyDescent="0.35">
      <c r="B17" s="4"/>
      <c r="C17" s="4"/>
      <c r="D17" s="18"/>
      <c r="E17" s="18"/>
      <c r="F17" s="18"/>
      <c r="G17" s="18"/>
      <c r="H17" s="18"/>
      <c r="I17" s="18"/>
      <c r="J17" s="16"/>
      <c r="K17" s="14"/>
      <c r="L17" s="16"/>
      <c r="M17" s="111">
        <f t="shared" si="0"/>
        <v>0</v>
      </c>
    </row>
    <row r="18" spans="2:13" x14ac:dyDescent="0.35">
      <c r="B18" s="4"/>
      <c r="C18" s="4"/>
      <c r="D18" s="18"/>
      <c r="E18" s="18"/>
      <c r="F18" s="18"/>
      <c r="G18" s="18"/>
      <c r="H18" s="18"/>
      <c r="I18" s="18"/>
      <c r="J18" s="16"/>
      <c r="K18" s="14"/>
      <c r="L18" s="16"/>
      <c r="M18" s="111">
        <f t="shared" si="0"/>
        <v>0</v>
      </c>
    </row>
    <row r="19" spans="2:13" s="7" customFormat="1" x14ac:dyDescent="0.35">
      <c r="B19" s="24"/>
      <c r="C19" s="7" t="s">
        <v>166</v>
      </c>
      <c r="D19" s="19"/>
      <c r="E19" s="19"/>
      <c r="F19" s="19"/>
      <c r="G19" s="19"/>
      <c r="H19" s="14">
        <f t="shared" ref="H19:I19" si="1">SUM(H15:H18)</f>
        <v>0</v>
      </c>
      <c r="I19" s="14">
        <f t="shared" si="1"/>
        <v>0</v>
      </c>
      <c r="J19" s="14">
        <f>SUM(J15:J18)</f>
        <v>0</v>
      </c>
      <c r="K19" s="14"/>
      <c r="L19" s="14">
        <f>SUM(L15:L18)</f>
        <v>0</v>
      </c>
      <c r="M19" s="112">
        <f t="shared" si="0"/>
        <v>0</v>
      </c>
    </row>
    <row r="20" spans="2:13" s="7" customFormat="1" x14ac:dyDescent="0.35">
      <c r="D20" s="19"/>
      <c r="E20" s="19"/>
      <c r="F20" s="19"/>
      <c r="G20" s="19"/>
      <c r="H20" s="14"/>
      <c r="I20" s="14"/>
      <c r="J20" s="14"/>
      <c r="K20" s="14"/>
      <c r="L20" s="19"/>
      <c r="M20" s="14"/>
    </row>
    <row r="21" spans="2:13" s="7" customFormat="1" x14ac:dyDescent="0.35">
      <c r="B21" s="8" t="s">
        <v>163</v>
      </c>
      <c r="C21" s="9"/>
      <c r="D21" s="9"/>
      <c r="E21" s="9"/>
      <c r="F21" s="9"/>
      <c r="G21" s="9"/>
      <c r="H21" s="9"/>
      <c r="I21" s="9"/>
      <c r="J21" s="9"/>
      <c r="K21" s="9"/>
      <c r="L21" s="9"/>
      <c r="M21" s="67"/>
    </row>
    <row r="22" spans="2:13" x14ac:dyDescent="0.35">
      <c r="B22" s="31" t="s">
        <v>67</v>
      </c>
      <c r="C22" s="31" t="s">
        <v>30</v>
      </c>
      <c r="D22" s="31" t="s">
        <v>31</v>
      </c>
      <c r="E22" s="31" t="s">
        <v>2</v>
      </c>
      <c r="F22" s="31" t="s">
        <v>105</v>
      </c>
      <c r="G22" s="31" t="s">
        <v>132</v>
      </c>
      <c r="H22" s="31" t="s">
        <v>29</v>
      </c>
      <c r="I22" s="31" t="s">
        <v>212</v>
      </c>
      <c r="J22" s="31" t="s">
        <v>213</v>
      </c>
      <c r="K22" s="14"/>
      <c r="L22" s="184" t="s">
        <v>222</v>
      </c>
      <c r="M22" s="185"/>
    </row>
    <row r="23" spans="2:13" x14ac:dyDescent="0.35">
      <c r="B23" s="4"/>
      <c r="C23" s="4"/>
      <c r="D23" s="18"/>
      <c r="E23" s="18"/>
      <c r="F23" s="18"/>
      <c r="G23" s="18"/>
      <c r="H23" s="18"/>
      <c r="I23" s="18"/>
      <c r="J23" s="16"/>
      <c r="K23" s="14"/>
      <c r="L23" s="16"/>
      <c r="M23" s="111">
        <f t="shared" ref="M23:M27" si="2">IF(J23&gt;0, L23/J23, 0)</f>
        <v>0</v>
      </c>
    </row>
    <row r="24" spans="2:13" x14ac:dyDescent="0.35">
      <c r="B24" s="4"/>
      <c r="C24" s="4"/>
      <c r="D24" s="18"/>
      <c r="E24" s="18"/>
      <c r="F24" s="18"/>
      <c r="G24" s="18"/>
      <c r="H24" s="18"/>
      <c r="I24" s="18"/>
      <c r="J24" s="16"/>
      <c r="K24" s="14"/>
      <c r="L24" s="16"/>
      <c r="M24" s="111">
        <f t="shared" si="2"/>
        <v>0</v>
      </c>
    </row>
    <row r="25" spans="2:13" x14ac:dyDescent="0.35">
      <c r="B25" s="4"/>
      <c r="C25" s="4"/>
      <c r="D25" s="18"/>
      <c r="E25" s="18"/>
      <c r="F25" s="18"/>
      <c r="G25" s="18"/>
      <c r="H25" s="18"/>
      <c r="I25" s="18"/>
      <c r="J25" s="16"/>
      <c r="K25" s="14"/>
      <c r="L25" s="16"/>
      <c r="M25" s="111">
        <f t="shared" si="2"/>
        <v>0</v>
      </c>
    </row>
    <row r="26" spans="2:13" x14ac:dyDescent="0.35">
      <c r="B26" s="4"/>
      <c r="C26" s="4"/>
      <c r="D26" s="18"/>
      <c r="E26" s="18"/>
      <c r="F26" s="18"/>
      <c r="G26" s="18"/>
      <c r="H26" s="18"/>
      <c r="I26" s="18"/>
      <c r="J26" s="16"/>
      <c r="K26" s="14"/>
      <c r="L26" s="16"/>
      <c r="M26" s="111">
        <f t="shared" si="2"/>
        <v>0</v>
      </c>
    </row>
    <row r="27" spans="2:13" s="7" customFormat="1" x14ac:dyDescent="0.35">
      <c r="B27" s="24"/>
      <c r="C27" s="7" t="s">
        <v>164</v>
      </c>
      <c r="D27" s="19"/>
      <c r="E27" s="19"/>
      <c r="F27" s="19"/>
      <c r="G27" s="19"/>
      <c r="H27" s="14">
        <f t="shared" ref="H27" si="3">SUM(H23:H26)</f>
        <v>0</v>
      </c>
      <c r="I27" s="14">
        <f t="shared" ref="I27" si="4">SUM(I23:I26)</f>
        <v>0</v>
      </c>
      <c r="J27" s="14">
        <f>SUM(J23:J26)</f>
        <v>0</v>
      </c>
      <c r="K27" s="14"/>
      <c r="L27" s="14">
        <f>SUM(L23:L26)</f>
        <v>0</v>
      </c>
      <c r="M27" s="112">
        <f t="shared" si="2"/>
        <v>0</v>
      </c>
    </row>
    <row r="28" spans="2:13" s="7" customFormat="1" x14ac:dyDescent="0.35">
      <c r="B28" s="24"/>
      <c r="D28" s="19"/>
      <c r="E28" s="19"/>
      <c r="F28" s="19"/>
      <c r="G28" s="19"/>
      <c r="H28" s="14"/>
      <c r="I28" s="14"/>
      <c r="J28" s="14"/>
      <c r="K28" s="14"/>
      <c r="L28" s="19"/>
      <c r="M28" s="14"/>
    </row>
    <row r="29" spans="2:13" s="7" customFormat="1" x14ac:dyDescent="0.35">
      <c r="B29" s="8" t="s">
        <v>249</v>
      </c>
      <c r="C29" s="9"/>
      <c r="D29" s="9"/>
      <c r="E29" s="9"/>
      <c r="F29" s="9"/>
      <c r="G29" s="9"/>
      <c r="H29" s="9"/>
      <c r="I29" s="9"/>
      <c r="J29" s="9"/>
      <c r="K29" s="9"/>
      <c r="L29" s="9"/>
      <c r="M29" s="67"/>
    </row>
    <row r="30" spans="2:13" s="7" customFormat="1" x14ac:dyDescent="0.35">
      <c r="B30" s="31" t="s">
        <v>67</v>
      </c>
      <c r="C30" s="31" t="s">
        <v>30</v>
      </c>
      <c r="D30" s="31" t="s">
        <v>31</v>
      </c>
      <c r="E30" s="31" t="s">
        <v>2</v>
      </c>
      <c r="F30" s="31" t="s">
        <v>105</v>
      </c>
      <c r="G30" s="31" t="s">
        <v>132</v>
      </c>
      <c r="H30" s="31" t="s">
        <v>29</v>
      </c>
      <c r="I30" s="31" t="s">
        <v>212</v>
      </c>
      <c r="J30" s="31" t="s">
        <v>213</v>
      </c>
      <c r="K30" s="14"/>
      <c r="L30" s="184" t="s">
        <v>222</v>
      </c>
      <c r="M30" s="185"/>
    </row>
    <row r="31" spans="2:13" s="7" customFormat="1" x14ac:dyDescent="0.35">
      <c r="B31" s="4"/>
      <c r="C31" s="4"/>
      <c r="D31" s="16"/>
      <c r="E31" s="16"/>
      <c r="F31" s="16"/>
      <c r="G31" s="16"/>
      <c r="H31" s="18"/>
      <c r="I31" s="18"/>
      <c r="J31" s="16"/>
      <c r="K31" s="14"/>
      <c r="L31" s="16"/>
      <c r="M31" s="111">
        <f t="shared" ref="M31:M35" si="5">IF(J31&gt;0, L31/J31, 0)</f>
        <v>0</v>
      </c>
    </row>
    <row r="32" spans="2:13" s="7" customFormat="1" x14ac:dyDescent="0.35">
      <c r="B32" s="4"/>
      <c r="C32" s="4"/>
      <c r="D32" s="16"/>
      <c r="E32" s="16"/>
      <c r="F32" s="16"/>
      <c r="G32" s="16"/>
      <c r="H32" s="18"/>
      <c r="I32" s="18"/>
      <c r="J32" s="16"/>
      <c r="K32" s="14"/>
      <c r="L32" s="16"/>
      <c r="M32" s="111">
        <f t="shared" si="5"/>
        <v>0</v>
      </c>
    </row>
    <row r="33" spans="2:14" s="7" customFormat="1" x14ac:dyDescent="0.35">
      <c r="B33" s="4"/>
      <c r="C33" s="4"/>
      <c r="D33" s="16"/>
      <c r="E33" s="16"/>
      <c r="F33" s="16"/>
      <c r="G33" s="16"/>
      <c r="H33" s="18"/>
      <c r="I33" s="18"/>
      <c r="J33" s="16"/>
      <c r="K33" s="14"/>
      <c r="L33" s="16"/>
      <c r="M33" s="111">
        <f t="shared" si="5"/>
        <v>0</v>
      </c>
    </row>
    <row r="34" spans="2:14" s="7" customFormat="1" x14ac:dyDescent="0.35">
      <c r="B34" s="4"/>
      <c r="C34" s="4"/>
      <c r="D34" s="16"/>
      <c r="E34" s="16"/>
      <c r="F34" s="16"/>
      <c r="G34" s="16"/>
      <c r="H34" s="18"/>
      <c r="I34" s="18"/>
      <c r="J34" s="16"/>
      <c r="K34" s="14"/>
      <c r="L34" s="16"/>
      <c r="M34" s="111">
        <f t="shared" si="5"/>
        <v>0</v>
      </c>
    </row>
    <row r="35" spans="2:14" x14ac:dyDescent="0.35">
      <c r="B35" s="139"/>
      <c r="C35" s="3" t="s">
        <v>251</v>
      </c>
      <c r="D35" s="17"/>
      <c r="E35" s="17"/>
      <c r="F35" s="17"/>
      <c r="G35" s="17"/>
      <c r="H35" s="17">
        <f t="shared" ref="H35" si="6">SUM(H31:H34)</f>
        <v>0</v>
      </c>
      <c r="I35" s="17">
        <f t="shared" ref="I35" si="7">SUM(I31:I34)</f>
        <v>0</v>
      </c>
      <c r="J35" s="17">
        <f>SUM(J31:J34)</f>
        <v>0</v>
      </c>
      <c r="K35" s="17"/>
      <c r="L35" s="17">
        <f>SUM(L31:L34)</f>
        <v>0</v>
      </c>
      <c r="M35" s="178">
        <f t="shared" si="5"/>
        <v>0</v>
      </c>
    </row>
    <row r="36" spans="2:14" s="7" customFormat="1" x14ac:dyDescent="0.35">
      <c r="B36" s="24"/>
      <c r="D36" s="19"/>
      <c r="E36" s="19"/>
      <c r="F36" s="19"/>
      <c r="G36" s="19"/>
      <c r="H36" s="14"/>
      <c r="I36" s="14"/>
      <c r="J36" s="14"/>
      <c r="K36" s="14"/>
      <c r="L36" s="19"/>
      <c r="M36" s="14"/>
    </row>
    <row r="37" spans="2:14" s="7" customFormat="1" x14ac:dyDescent="0.35">
      <c r="B37" s="8" t="s">
        <v>250</v>
      </c>
      <c r="C37" s="9"/>
      <c r="D37" s="9"/>
      <c r="E37" s="9"/>
      <c r="F37" s="9"/>
      <c r="G37" s="9"/>
      <c r="H37" s="9"/>
      <c r="I37" s="9"/>
      <c r="J37" s="9"/>
      <c r="K37" s="9"/>
      <c r="L37" s="9"/>
      <c r="M37" s="67"/>
    </row>
    <row r="38" spans="2:14" x14ac:dyDescent="0.35">
      <c r="B38" s="31" t="s">
        <v>67</v>
      </c>
      <c r="C38" s="31" t="s">
        <v>30</v>
      </c>
      <c r="D38" s="31" t="s">
        <v>133</v>
      </c>
      <c r="E38" s="31"/>
      <c r="F38" s="31" t="s">
        <v>105</v>
      </c>
      <c r="G38" s="31" t="s">
        <v>132</v>
      </c>
      <c r="H38" s="31" t="s">
        <v>29</v>
      </c>
      <c r="I38" s="31" t="s">
        <v>212</v>
      </c>
      <c r="J38" s="31" t="s">
        <v>213</v>
      </c>
      <c r="K38" s="14"/>
      <c r="L38" s="184" t="s">
        <v>222</v>
      </c>
      <c r="M38" s="185"/>
    </row>
    <row r="39" spans="2:14" x14ac:dyDescent="0.35">
      <c r="B39" s="4"/>
      <c r="C39" s="4"/>
      <c r="D39" s="16"/>
      <c r="E39" s="16"/>
      <c r="F39" s="16"/>
      <c r="G39" s="16"/>
      <c r="H39" s="18"/>
      <c r="I39" s="18"/>
      <c r="J39" s="16"/>
      <c r="K39" s="14"/>
      <c r="L39" s="16"/>
      <c r="M39" s="111">
        <f t="shared" ref="M39:M44" si="8">IF(J39&gt;0, L39/J39, 0)</f>
        <v>0</v>
      </c>
    </row>
    <row r="40" spans="2:14" x14ac:dyDescent="0.35">
      <c r="B40" s="4"/>
      <c r="C40" s="4"/>
      <c r="D40" s="16"/>
      <c r="E40" s="16"/>
      <c r="F40" s="16"/>
      <c r="G40" s="16"/>
      <c r="H40" s="18"/>
      <c r="I40" s="18"/>
      <c r="J40" s="16"/>
      <c r="K40" s="14"/>
      <c r="L40" s="16"/>
      <c r="M40" s="111">
        <f t="shared" si="8"/>
        <v>0</v>
      </c>
    </row>
    <row r="41" spans="2:14" x14ac:dyDescent="0.35">
      <c r="B41" s="4"/>
      <c r="C41" s="4"/>
      <c r="D41" s="16"/>
      <c r="E41" s="16"/>
      <c r="F41" s="16"/>
      <c r="G41" s="16"/>
      <c r="H41" s="18"/>
      <c r="I41" s="18"/>
      <c r="J41" s="16"/>
      <c r="K41" s="14"/>
      <c r="L41" s="16"/>
      <c r="M41" s="111">
        <f t="shared" si="8"/>
        <v>0</v>
      </c>
    </row>
    <row r="42" spans="2:14" x14ac:dyDescent="0.35">
      <c r="B42" s="4"/>
      <c r="C42" s="4"/>
      <c r="D42" s="16"/>
      <c r="E42" s="16"/>
      <c r="F42" s="16"/>
      <c r="G42" s="16"/>
      <c r="H42" s="18"/>
      <c r="I42" s="18"/>
      <c r="J42" s="16"/>
      <c r="K42" s="14"/>
      <c r="L42" s="16"/>
      <c r="M42" s="111">
        <f t="shared" si="8"/>
        <v>0</v>
      </c>
    </row>
    <row r="43" spans="2:14" x14ac:dyDescent="0.35">
      <c r="B43" s="139"/>
      <c r="C43" s="3" t="s">
        <v>252</v>
      </c>
      <c r="D43" s="17"/>
      <c r="E43" s="17"/>
      <c r="F43" s="17"/>
      <c r="G43" s="17"/>
      <c r="H43" s="17">
        <f>SUM(H39:H42)</f>
        <v>0</v>
      </c>
      <c r="I43" s="17">
        <f t="shared" ref="I43:J43" si="9">SUM(I39:I42)</f>
        <v>0</v>
      </c>
      <c r="J43" s="17">
        <f t="shared" si="9"/>
        <v>0</v>
      </c>
      <c r="K43" s="17"/>
      <c r="L43" s="17">
        <f t="shared" ref="L43" si="10">SUM(L39:L42)</f>
        <v>0</v>
      </c>
      <c r="M43" s="178">
        <f t="shared" si="8"/>
        <v>0</v>
      </c>
    </row>
    <row r="44" spans="2:14" s="7" customFormat="1" x14ac:dyDescent="0.35">
      <c r="B44" s="24"/>
      <c r="C44" s="7" t="s">
        <v>248</v>
      </c>
      <c r="D44" s="14"/>
      <c r="E44" s="14"/>
      <c r="F44" s="14"/>
      <c r="G44" s="14"/>
      <c r="H44" s="14">
        <f>H35+H43</f>
        <v>0</v>
      </c>
      <c r="I44" s="14">
        <f t="shared" ref="I44:L44" si="11">I35+I43</f>
        <v>0</v>
      </c>
      <c r="J44" s="14">
        <f t="shared" si="11"/>
        <v>0</v>
      </c>
      <c r="K44" s="14"/>
      <c r="L44" s="14">
        <f t="shared" si="11"/>
        <v>0</v>
      </c>
      <c r="M44" s="112">
        <f t="shared" si="8"/>
        <v>0</v>
      </c>
    </row>
    <row r="45" spans="2:14" s="7" customFormat="1" x14ac:dyDescent="0.35">
      <c r="B45" s="24"/>
      <c r="D45" s="14"/>
      <c r="E45" s="14"/>
      <c r="F45" s="14"/>
      <c r="G45" s="14"/>
      <c r="H45" s="14"/>
      <c r="J45" s="14"/>
      <c r="K45" s="14"/>
      <c r="L45" s="14"/>
      <c r="M45" s="14"/>
    </row>
    <row r="46" spans="2:14" s="7" customFormat="1" ht="4.5" customHeight="1" x14ac:dyDescent="0.35">
      <c r="B46" s="70"/>
      <c r="C46" s="71"/>
      <c r="D46" s="72"/>
      <c r="E46" s="72"/>
      <c r="F46" s="72"/>
      <c r="G46" s="72"/>
      <c r="H46" s="72"/>
      <c r="I46" s="71"/>
      <c r="J46" s="72"/>
      <c r="K46" s="72"/>
      <c r="L46" s="72"/>
      <c r="M46" s="72"/>
      <c r="N46" s="73"/>
    </row>
    <row r="47" spans="2:14" s="7" customFormat="1" x14ac:dyDescent="0.35">
      <c r="B47" s="74"/>
      <c r="C47" s="7" t="s">
        <v>162</v>
      </c>
      <c r="H47" s="14">
        <f>H19+H27+H44</f>
        <v>0</v>
      </c>
      <c r="I47" s="14">
        <f t="shared" ref="I47:J47" si="12">I19+I27+I44</f>
        <v>0</v>
      </c>
      <c r="J47" s="14">
        <f t="shared" si="12"/>
        <v>0</v>
      </c>
      <c r="K47" s="14"/>
      <c r="L47" s="14"/>
      <c r="M47" s="14"/>
      <c r="N47" s="75"/>
    </row>
    <row r="48" spans="2:14" s="7" customFormat="1" ht="4.5" customHeight="1" x14ac:dyDescent="0.35">
      <c r="B48" s="76"/>
      <c r="C48" s="77"/>
      <c r="D48" s="77"/>
      <c r="E48" s="77"/>
      <c r="F48" s="77"/>
      <c r="G48" s="77"/>
      <c r="H48" s="77"/>
      <c r="I48" s="77"/>
      <c r="J48" s="79"/>
      <c r="K48" s="79"/>
      <c r="L48" s="79"/>
      <c r="M48" s="79"/>
      <c r="N48" s="80"/>
    </row>
    <row r="49" spans="2:14" s="7" customFormat="1" x14ac:dyDescent="0.35">
      <c r="H49" s="17"/>
      <c r="J49" s="14"/>
      <c r="K49" s="14"/>
      <c r="L49" s="14"/>
      <c r="M49" s="14"/>
    </row>
    <row r="50" spans="2:14" s="7" customFormat="1" ht="5.5" customHeight="1" x14ac:dyDescent="0.35">
      <c r="B50" s="70"/>
      <c r="C50" s="71"/>
      <c r="D50" s="72"/>
      <c r="E50" s="72"/>
      <c r="F50" s="72"/>
      <c r="G50" s="72"/>
      <c r="H50" s="72"/>
      <c r="I50" s="71"/>
      <c r="J50" s="72"/>
      <c r="K50" s="72"/>
      <c r="L50" s="72"/>
      <c r="M50" s="72"/>
      <c r="N50" s="73"/>
    </row>
    <row r="51" spans="2:14" s="7" customFormat="1" x14ac:dyDescent="0.35">
      <c r="B51" s="74"/>
      <c r="C51" s="7" t="s">
        <v>86</v>
      </c>
      <c r="E51" s="24"/>
      <c r="F51" s="24"/>
      <c r="G51" s="24"/>
      <c r="H51" s="14"/>
      <c r="I51" s="132"/>
      <c r="J51" s="14"/>
      <c r="K51" s="14"/>
      <c r="L51" s="14">
        <f>L19+L27+L35+L44</f>
        <v>0</v>
      </c>
      <c r="M51" s="132">
        <f>IF(J47&gt;0, L51/J47, 0)</f>
        <v>0</v>
      </c>
      <c r="N51" s="75"/>
    </row>
    <row r="52" spans="2:14" s="7" customFormat="1" ht="4.5" customHeight="1" x14ac:dyDescent="0.35">
      <c r="B52" s="76"/>
      <c r="C52" s="77"/>
      <c r="D52" s="77"/>
      <c r="E52" s="77"/>
      <c r="F52" s="77"/>
      <c r="G52" s="77"/>
      <c r="H52" s="78"/>
      <c r="I52" s="77"/>
      <c r="J52" s="77"/>
      <c r="K52" s="77"/>
      <c r="L52" s="79"/>
      <c r="M52" s="79"/>
      <c r="N52" s="80"/>
    </row>
    <row r="53" spans="2:14" s="7" customFormat="1" x14ac:dyDescent="0.35">
      <c r="L53" s="14"/>
      <c r="M53" s="14"/>
    </row>
    <row r="54" spans="2:14" x14ac:dyDescent="0.35">
      <c r="B54" s="3" t="s">
        <v>238</v>
      </c>
    </row>
    <row r="56" spans="2:14" x14ac:dyDescent="0.35">
      <c r="B56" s="3" t="s">
        <v>254</v>
      </c>
    </row>
    <row r="57" spans="2:14" x14ac:dyDescent="0.35">
      <c r="B57" s="3" t="s">
        <v>253</v>
      </c>
    </row>
  </sheetData>
  <mergeCells count="8">
    <mergeCell ref="J5:K5"/>
    <mergeCell ref="J6:K6"/>
    <mergeCell ref="J7:K7"/>
    <mergeCell ref="D10:F10"/>
    <mergeCell ref="L14:M14"/>
    <mergeCell ref="L22:M22"/>
    <mergeCell ref="L30:M30"/>
    <mergeCell ref="L38:M38"/>
  </mergeCells>
  <pageMargins left="0.7" right="0.7" top="1.1811023622047201" bottom="0.75" header="0.3" footer="0.3"/>
  <pageSetup paperSize="9" orientation="portrait" r:id="rId1"/>
  <headerFooter scaleWithDoc="0">
    <oddHeader>&amp;L&amp;"Arial,Regular"&amp;9ESA UNCLASSIFIED - For ESA Official Use Only&amp;R&amp;G</oddHeader>
    <oddFooter>&amp;L&amp;"Arial,Regular"&amp;9Page &amp;P / &amp;N
ESA STANDARD PRICE BREAKDOWN FORMS
Issue/Revision: 6.0&amp;R&amp;G</oddFooter>
  </headerFooter>
  <legacyDrawing r:id="rId2"/>
</worksheet>
</file>

<file path=docMetadata/LabelInfo.xml><?xml version="1.0" encoding="utf-8"?>
<clbl:labelList xmlns:clbl="http://schemas.microsoft.com/office/2020/mipLabelMetadata">
  <clbl:label id="{3976fa30-1907-4356-8241-62ea5e1c0256}" enabled="1" method="Standard" siteId="{9a5cacd0-2bef-4dd7-ac5c-7ebe1f54f49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Header Page</vt:lpstr>
      <vt:lpstr>PBF1</vt:lpstr>
      <vt:lpstr>PBF2</vt:lpstr>
      <vt:lpstr>PBF3</vt:lpstr>
      <vt:lpstr>ExA-C</vt:lpstr>
      <vt:lpstr>ExD</vt:lpstr>
      <vt:lpstr>ExE</vt:lpstr>
      <vt:lpstr>ExF</vt:lpstr>
      <vt:lpstr>ExG</vt:lpstr>
      <vt:lpstr>cover</vt:lpstr>
      <vt:lpstr>mtype</vt:lpstr>
      <vt:lpstr>'Header Page'!Print_Area</vt:lpstr>
      <vt:lpstr>ptype</vt:lpstr>
      <vt:lpstr>ptypet</vt:lpstr>
      <vt:lpstr>sctype</vt:lpstr>
      <vt:lpstr>wactype</vt:lpstr>
    </vt:vector>
  </TitlesOfParts>
  <Company>ESA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ESA STANDARD PRICE BREAKDOWN FORMS</dc:title>
  <dc:subject>ESA STANDARD PRICE BREAKDOWN FORMS</dc:subject>
  <dc:creator>Paolo Ponzio</dc:creator>
  <cp:keywords/>
  <dc:description/>
  <cp:lastModifiedBy>Paolo Ponzio</cp:lastModifiedBy>
  <dcterms:created xsi:type="dcterms:W3CDTF">2021-10-20T02:25:33Z</dcterms:created>
  <dcterms:modified xsi:type="dcterms:W3CDTF">2026-03-29T08:55:43Z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76fa30-1907-4356-8241-62ea5e1c0256_Enabled">
    <vt:lpwstr>true</vt:lpwstr>
  </property>
  <property fmtid="{D5CDD505-2E9C-101B-9397-08002B2CF9AE}" pid="3" name="MSIP_Label_3976fa30-1907-4356-8241-62ea5e1c0256_SetDate">
    <vt:lpwstr>2021-10-20T02:25:34Z</vt:lpwstr>
  </property>
  <property fmtid="{D5CDD505-2E9C-101B-9397-08002B2CF9AE}" pid="4" name="MSIP_Label_3976fa30-1907-4356-8241-62ea5e1c0256_Method">
    <vt:lpwstr>Standard</vt:lpwstr>
  </property>
  <property fmtid="{D5CDD505-2E9C-101B-9397-08002B2CF9AE}" pid="5" name="MSIP_Label_3976fa30-1907-4356-8241-62ea5e1c0256_Name">
    <vt:lpwstr>ESA UNCLASSIFIED – For ESA Official Use Only</vt:lpwstr>
  </property>
  <property fmtid="{D5CDD505-2E9C-101B-9397-08002B2CF9AE}" pid="6" name="MSIP_Label_3976fa30-1907-4356-8241-62ea5e1c0256_SiteId">
    <vt:lpwstr>9a5cacd0-2bef-4dd7-ac5c-7ebe1f54f495</vt:lpwstr>
  </property>
  <property fmtid="{D5CDD505-2E9C-101B-9397-08002B2CF9AE}" pid="7" name="MSIP_Label_3976fa30-1907-4356-8241-62ea5e1c0256_ActionId">
    <vt:lpwstr>a1955523-49ed-4c7a-914d-3e78f61abe06</vt:lpwstr>
  </property>
  <property fmtid="{D5CDD505-2E9C-101B-9397-08002B2CF9AE}" pid="8" name="MSIP_Label_3976fa30-1907-4356-8241-62ea5e1c0256_ContentBits">
    <vt:lpwstr>0</vt:lpwstr>
  </property>
  <property fmtid="{D5CDD505-2E9C-101B-9397-08002B2CF9AE}" pid="9" name="Issue Date">
    <vt:filetime>2026-03-14T23:00:00Z</vt:filetime>
  </property>
  <property fmtid="{D5CDD505-2E9C-101B-9397-08002B2CF9AE}" pid="10" name="Reference">
    <vt:lpwstr>ESA-CIC-IAB-DRD-2026-6630-PP</vt:lpwstr>
  </property>
  <property fmtid="{D5CDD505-2E9C-101B-9397-08002B2CF9AE}" pid="11" name="Classification">
    <vt:lpwstr>ESA UNCLASSIFIED - For ESA Official Use Only</vt:lpwstr>
  </property>
  <property fmtid="{D5CDD505-2E9C-101B-9397-08002B2CF9AE}" pid="12" name="Classification Caveat">
    <vt:lpwstr/>
  </property>
  <property fmtid="{D5CDD505-2E9C-101B-9397-08002B2CF9AE}" pid="13" name="Revision">
    <vt:lpwstr>0</vt:lpwstr>
  </property>
  <property fmtid="{D5CDD505-2E9C-101B-9397-08002B2CF9AE}" pid="14" name="Issue">
    <vt:lpwstr>6</vt:lpwstr>
  </property>
  <property fmtid="{D5CDD505-2E9C-101B-9397-08002B2CF9AE}" pid="15" name="Document Type">
    <vt:lpwstr>DRD - Document Requirements Definition</vt:lpwstr>
  </property>
  <property fmtid="{D5CDD505-2E9C-101B-9397-08002B2CF9AE}" pid="16" name="Status">
    <vt:lpwstr>Issued</vt:lpwstr>
  </property>
  <property fmtid="{D5CDD505-2E9C-101B-9397-08002B2CF9AE}" pid="17" name="bmsSiteName">
    <vt:lpwstr/>
  </property>
  <property fmtid="{D5CDD505-2E9C-101B-9397-08002B2CF9AE}" pid="18" name="Originating Organisation">
    <vt:lpwstr>ESA-CIC-IA</vt:lpwstr>
  </property>
  <property fmtid="{D5CDD505-2E9C-101B-9397-08002B2CF9AE}" pid="19" name="Distribution">
    <vt:lpwstr/>
  </property>
  <property fmtid="{D5CDD505-2E9C-101B-9397-08002B2CF9AE}" pid="20" name="bmsSitename2">
    <vt:lpwstr/>
  </property>
  <property fmtid="{D5CDD505-2E9C-101B-9397-08002B2CF9AE}" pid="21" name="bmsAddress">
    <vt:lpwstr/>
  </property>
  <property fmtid="{D5CDD505-2E9C-101B-9397-08002B2CF9AE}" pid="22" name="bmsPhoneFax">
    <vt:lpwstr/>
  </property>
</Properties>
</file>