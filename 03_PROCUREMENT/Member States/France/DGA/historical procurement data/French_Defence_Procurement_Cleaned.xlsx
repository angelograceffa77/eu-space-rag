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3f11d203c044be" /></Relationships>
</file>

<file path=xl/workbook.xml><?xml version="1.0" encoding="utf-8"?>
<x:workbook xmlns:x="http://schemas.openxmlformats.org/spreadsheetml/2006/main">
  <x:sheets>
    <x:sheet xmlns:r="http://schemas.openxmlformats.org/officeDocument/2006/relationships" name="Overview" sheetId="1" r:id="R1d62580aad2c4093"/>
    <x:sheet xmlns:r="http://schemas.openxmlformats.org/officeDocument/2006/relationships" name="Contracts" sheetId="2" r:id="Re06b438fc9424f5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
  </x:numFmts>
  <x:fonts count="5">
    <x:font>
      <x:sz val="11"/>
      <x:name val="Carlito"/>
    </x:font>
    <x:font>
      <x:b/>
      <x:sz val="16"/>
      <x:color rgb="FFFFFFFF"/>
      <x:name val="Carlito"/>
    </x:font>
    <x:font>
      <x:i/>
      <x:sz val="11"/>
      <x:color rgb="FF666666"/>
      <x:name val="Carlito"/>
    </x:font>
    <x:font>
      <x:b/>
      <x:sz val="11"/>
      <x:color rgb="FF1F1F1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4"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4"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4"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f258064c6446c8" /><Relationship Type="http://schemas.openxmlformats.org/officeDocument/2006/relationships/theme" Target="/xl/theme/theme1.xml" Id="R1e3bb35487e848f2" /><Relationship Type="http://schemas.openxmlformats.org/officeDocument/2006/relationships/sharedStrings" Target="/xl/sharedStrings.xml" Id="Re6131ef5be764c26" /><Relationship Type="http://schemas.openxmlformats.org/officeDocument/2006/relationships/worksheet" Target="/xl/worksheets/sheet1.xml" Id="R1d62580aad2c4093" /><Relationship Type="http://schemas.openxmlformats.org/officeDocument/2006/relationships/worksheet" Target="/xl/worksheets/sheet2.xml" Id="Re06b438fc9424f57" /></Relationships>
</file>

<file path=xl/tables/table1.xml><?xml version="1.0" encoding="utf-8"?>
<x:table xmlns:x="http://schemas.openxmlformats.org/spreadsheetml/2006/main" id="1" name="ContractsTable" displayName="ContractsTable" ref="A1:P1001" headerRowCount="1" totalsRowCount="0" totalsRowShown="0">
  <x:tableColumns count="16">
    <x:tableColumn id="1" name="Contract Number"/>
    <x:tableColumn id="2" name="Buyer"/>
    <x:tableColumn id="3" name="Supplier / Awardee"/>
    <x:tableColumn id="4" name="Contract Subject"/>
    <x:tableColumn id="5" name="CPV / Category"/>
    <x:tableColumn id="6" name="Amount (€)"/>
    <x:tableColumn id="7" name="Notification Date"/>
    <x:tableColumn id="8" name="Publication Date"/>
    <x:tableColumn id="9" name="Duration (months)"/>
    <x:tableColumn id="10" name="Contract Nature"/>
    <x:tableColumn id="11" name="Procedure"/>
    <x:tableColumn id="12" name="Price Type"/>
    <x:tableColumn id="13" name="Place of Performance"/>
    <x:tableColumn id="14" name="Status"/>
    <x:tableColumn id="15" name="Source"/>
    <x:tableColumn id="16" name="Original Tit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ab0d8013f64eb3" /></Relationships>
</file>

<file path=xl/worksheets/sheet1.xml><?xml version="1.0" encoding="utf-8"?>
<x:worksheet xmlns:x="http://schemas.openxmlformats.org/spreadsheetml/2006/main">
  <x:sheetFormatPr defaultRowHeight="15"/>
  <x:cols>
    <x:col min="1" max="1" width="27" hidden="0" customWidth="1"/>
    <x:col min="2" max="2" width="22" hidden="0" customWidth="1"/>
    <x:col min="4" max="4" width="24" hidden="0" customWidth="1"/>
    <x:col min="5" max="5" width="24" hidden="0" customWidth="1"/>
    <x:col min="6" max="6" width="24" hidden="0" customWidth="1"/>
  </x:cols>
  <x:sheetData>
    <x:row r="1">
      <x:c r="A1" s="5" t="str">
        <x:v>French Defence Procurement Dataset</x:v>
      </x:c>
      <x:c r="B1" s="5"/>
      <x:c r="C1" s="5"/>
      <x:c r="D1" s="5"/>
      <x:c r="E1" s="5"/>
      <x:c r="F1" s="5"/>
    </x:row>
    <x:row r="2">
      <x:c r="A2" s="10" t="str">
        <x:v>Cleaned and structured from the attached JSON export</x:v>
      </x:c>
      <x:c r="B2" s="10"/>
      <x:c r="C2" s="10"/>
      <x:c r="D2" s="10"/>
      <x:c r="E2" s="10"/>
      <x:c r="F2" s="10"/>
    </x:row>
    <x:row r="4">
      <x:c r="A4" s="13" t="str">
        <x:v>Metric</x:v>
      </x:c>
      <x:c r="B4" s="13" t="str">
        <x:v>Value</x:v>
      </x:c>
      <x:c r="D4" s="13" t="str">
        <x:v>How to use</x:v>
      </x:c>
      <x:c r="E4" s="13"/>
      <x:c r="F4" s="13"/>
    </x:row>
    <x:row r="5">
      <x:c r="A5" t="str">
        <x:v>Number of records</x:v>
      </x:c>
      <x:c r="B5" t="n">
        <x:f>COUNTA(Contracts!A2:A1001)</x:f>
        <x:v>1000</x:v>
      </x:c>
      <x:c r="D5" s="16" t="str">
        <x:v>Filter the Contracts sheet by buyer, supplier, location, procedure, or category.</x:v>
      </x:c>
      <x:c r="E5" s="16"/>
      <x:c r="F5" s="16"/>
    </x:row>
    <x:row r="6">
      <x:c r="A6" t="str">
        <x:v>Total contract amount (€)</x:v>
      </x:c>
      <x:c r="B6" s="18" t="n">
        <x:f>SUM(Contracts!F2:F1001)</x:f>
        <x:v>3113328643</x:v>
      </x:c>
      <x:c r="D6" s="16" t="str">
        <x:v>Amounts are numeric EUR values, ready for sorting and calculations.</x:v>
      </x:c>
      <x:c r="E6" s="16"/>
      <x:c r="F6" s="16"/>
    </x:row>
    <x:row r="7">
      <x:c r="A7" t="str">
        <x:v>Average contract amount (€)</x:v>
      </x:c>
      <x:c r="B7" s="18" t="n">
        <x:f>AVERAGE(Contracts!F2:F1001)</x:f>
        <x:v>3113328.643</x:v>
      </x:c>
      <x:c r="D7" s="16" t="str">
        <x:v>Dates are stored as Excel dates for proper sorting.</x:v>
      </x:c>
      <x:c r="E7" s="16"/>
      <x:c r="F7" s="16"/>
    </x:row>
    <x:row r="8">
      <x:c r="A8" t="str">
        <x:v>Earliest notification</x:v>
      </x:c>
      <x:c r="B8" s="20" t="n">
        <x:f>MIN(Contracts!G2:G1001)</x:f>
        <x:v>42587</x:v>
      </x:c>
      <x:c r="D8" s="16" t="str">
        <x:v>HTML markup/entities were removed from buyer and supplier names.</x:v>
      </x:c>
      <x:c r="E8" s="16"/>
      <x:c r="F8" s="16"/>
    </x:row>
    <x:row r="9">
      <x:c r="A9" t="str">
        <x:v>Latest notification</x:v>
      </x:c>
      <x:c r="B9" s="20" t="n">
        <x:f>MAX(Contracts!G2:G1001)</x:f>
        <x:v>43446</x:v>
      </x:c>
      <x:c r="D9" s="16" t="str">
        <x:v>Blank source fields remain blank rather than being guessed.</x:v>
      </x:c>
      <x:c r="E9" s="16"/>
      <x:c r="F9" s="16"/>
    </x:row>
  </x:sheetData>
  <x:mergeCells>
    <x:mergeCell ref="A1:F1"/>
    <x:mergeCell ref="A2:F2"/>
    <x:mergeCell ref="D4:F4"/>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42" hidden="0" customWidth="1"/>
    <x:col min="3" max="3" width="30" hidden="0" customWidth="1"/>
    <x:col min="4" max="4" width="55" hidden="0" customWidth="1"/>
    <x:col min="5" max="5" width="35" hidden="0" customWidth="1"/>
    <x:col min="6" max="6" width="16" hidden="0" customWidth="1"/>
    <x:col min="7" max="7" width="15" hidden="0" customWidth="1"/>
    <x:col min="8" max="8" width="15" hidden="0" customWidth="1"/>
    <x:col min="9" max="9" width="16" hidden="0" customWidth="1"/>
    <x:col min="10" max="10" width="18" hidden="0" customWidth="1"/>
    <x:col min="11" max="11" width="22" hidden="0" customWidth="1"/>
    <x:col min="12" max="12" width="20" hidden="0" customWidth="1"/>
    <x:col min="13" max="13" width="24" hidden="0" customWidth="1"/>
    <x:col min="14" max="14" width="10" hidden="0" customWidth="1"/>
    <x:col min="15" max="15" width="20" hidden="0" customWidth="1"/>
    <x:col min="16" max="16" width="20" hidden="0" customWidth="1"/>
  </x:cols>
  <x:sheetData>
    <x:row r="1">
      <x:c r="A1" s="32" t="str">
        <x:v>Contract Number</x:v>
      </x:c>
      <x:c r="B1" s="32" t="str">
        <x:v>Buyer</x:v>
      </x:c>
      <x:c r="C1" s="32" t="str">
        <x:v>Supplier / Awardee</x:v>
      </x:c>
      <x:c r="D1" s="32" t="str">
        <x:v>Contract Subject</x:v>
      </x:c>
      <x:c r="E1" s="32" t="str">
        <x:v>CPV / Category</x:v>
      </x:c>
      <x:c r="F1" s="32" t="str">
        <x:v>Amount (€)</x:v>
      </x:c>
      <x:c r="G1" s="32" t="str">
        <x:v>Notification Date</x:v>
      </x:c>
      <x:c r="H1" s="32" t="str">
        <x:v>Publication Date</x:v>
      </x:c>
      <x:c r="I1" s="32" t="str">
        <x:v>Duration (months)</x:v>
      </x:c>
      <x:c r="J1" s="32" t="str">
        <x:v>Contract Nature</x:v>
      </x:c>
      <x:c r="K1" s="32" t="str">
        <x:v>Procedure</x:v>
      </x:c>
      <x:c r="L1" s="32" t="str">
        <x:v>Price Type</x:v>
      </x:c>
      <x:c r="M1" s="32" t="str">
        <x:v>Place of Performance</x:v>
      </x:c>
      <x:c r="N1" s="32" t="str">
        <x:v>Status</x:v>
      </x:c>
      <x:c r="O1" s="32" t="str">
        <x:v>Source</x:v>
      </x:c>
      <x:c r="P1" s="32" t="str">
        <x:v>Original Title</x:v>
      </x:c>
    </x:row>
    <x:row r="2">
      <x:c r="A2" s="33" t="str">
        <x:v>2016130011574300</x:v>
      </x:c>
      <x:c r="B2" s="33" t="str">
        <x:v>MINARM / DIRISI - Direction Interarmées des Réseaux d'Infrastructure et des Systèmes d'Information de la défense</x:v>
      </x:c>
      <x:c r="C2" s="33" t="str">
        <x:v>ROHDE &amp; SCHWARZ FRANCE SAS</x:v>
      </x:c>
      <x:c r="D2" s="33" t="str">
        <x:v>Acquisition de moyens de réception et de localisation au profit du ministère de la défense.</x:v>
      </x:c>
      <x:c r="E2" s="33" t="str">
        <x:v>Systèmes de guerre électronique et contre-mesures.</x:v>
      </x:c>
      <x:c r="F2" s="36" t="n">
        <x:v>4000000</x:v>
      </x:c>
      <x:c r="G2" s="38" t="n">
        <x:v>42587</x:v>
      </x:c>
      <x:c r="H2" s="38" t="n">
        <x:v>42587</x:v>
      </x:c>
      <x:c r="I2" s="40" t="n">
        <x:v>48</x:v>
      </x:c>
      <x:c r="J2" s="33" t="str"/>
      <x:c r="K2" s="33" t="str"/>
      <x:c r="L2" s="33" t="str"/>
      <x:c r="M2" s="33" t="str">
        <x:v>(94) Val-de-Marne</x:v>
      </x:c>
      <x:c r="N2" s="33" t="str">
        <x:v>Oui</x:v>
      </x:c>
      <x:c r="O2" s="33" t="str">
        <x:v>data.gouv.fr_aife</x:v>
      </x:c>
      <x:c r="P2" s="33" t="str">
        <x:v>2016130011574300</x:v>
      </x:c>
    </x:row>
    <x:row r="3">
      <x:c r="A3" s="33" t="str">
        <x:v>2017150794270000</x:v>
      </x:c>
      <x:c r="B3" s="33" t="str">
        <x:v>MINARM / SGA / SID / ESID Rennes - Etablissement du service d'infrastructure de la défense de Rennes - ESID Rennes</x:v>
      </x:c>
      <x:c r="C3" s="33" t="str">
        <x:v>SOGEA BRETAGNE B T P</x:v>
      </x:c>
      <x:c r="D3" s="33" t="str">
        <x:v>Construction d'un bâtiment tertiaire sécurisé - Gros oeuvre, 2nd oeuvre, étanchéité, VRD, synthèse</x:v>
      </x:c>
      <x:c r="E3" s="33" t="str">
        <x:v>Travaux de construction complète ou partielle et travaux de génie civil.</x:v>
      </x:c>
      <x:c r="F3" s="36" t="n">
        <x:v>2090000</x:v>
      </x:c>
      <x:c r="G3" s="38" t="n">
        <x:v>42838</x:v>
      </x:c>
      <x:c r="H3" s="38" t="n">
        <x:v>42838</x:v>
      </x:c>
      <x:c r="I3" s="40" t="n">
        <x:v>13</x:v>
      </x:c>
      <x:c r="J3" s="33" t="str"/>
      <x:c r="K3" s="33" t="str"/>
      <x:c r="L3" s="33" t="str"/>
      <x:c r="M3" s="33" t="str">
        <x:v>(35) Ille-et-Vilaine</x:v>
      </x:c>
      <x:c r="N3" s="33" t="str">
        <x:v>Oui</x:v>
      </x:c>
      <x:c r="O3" s="33" t="str">
        <x:v>data.gouv.fr_aife</x:v>
      </x:c>
      <x:c r="P3" s="33" t="str">
        <x:v>2017150794270000</x:v>
      </x:c>
    </x:row>
    <x:row r="4">
      <x:c r="A4" s="33" t="str">
        <x:v>2017150794273500</x:v>
      </x:c>
      <x:c r="B4" s="33" t="str">
        <x:v>MINARM / SGA / SID / ESID Rennes - Etablissement du service d'infrastructure de la défense de Rennes - ESID Rennes</x:v>
      </x:c>
      <x:c r="C4" s="33" t="str">
        <x:v>SOGEA BRETAGNE B T P</x:v>
      </x:c>
      <x:c r="D4" s="33" t="str">
        <x:v>Construction d'un bâtiment tertiaire sécurisé - Bardage, menuiseries extérieures.</x:v>
      </x:c>
      <x:c r="E4" s="33" t="str">
        <x:v>Travaux de construction.</x:v>
      </x:c>
      <x:c r="F4" s="36" t="n">
        <x:v>650000</x:v>
      </x:c>
      <x:c r="G4" s="38" t="n">
        <x:v>42838</x:v>
      </x:c>
      <x:c r="H4" s="38" t="n">
        <x:v>42838</x:v>
      </x:c>
      <x:c r="I4" s="40" t="n">
        <x:v>16</x:v>
      </x:c>
      <x:c r="J4" s="33" t="str"/>
      <x:c r="K4" s="33" t="str"/>
      <x:c r="L4" s="33" t="str"/>
      <x:c r="M4" s="33" t="str">
        <x:v>(35) Ille-et-Vilaine</x:v>
      </x:c>
      <x:c r="N4" s="33" t="str">
        <x:v>Oui</x:v>
      </x:c>
      <x:c r="O4" s="33" t="str">
        <x:v>data.gouv.fr_aife</x:v>
      </x:c>
      <x:c r="P4" s="33" t="str">
        <x:v>2017150794273500</x:v>
      </x:c>
    </x:row>
    <x:row r="5">
      <x:c r="A5" s="33" t="str">
        <x:v>2017150794269400</x:v>
      </x:c>
      <x:c r="B5" s="33" t="str">
        <x:v>MINARM / SGA / SID / ESID Rennes - Etablissement du service d'infrastructure de la défense de Rennes - ESID Rennes</x:v>
      </x:c>
      <x:c r="C5" s="33" t="str">
        <x:v>INEO DIGITAL</x:v>
      </x:c>
      <x:c r="D5" s="33" t="str">
        <x:v>Construction d'un bâtiment tertiaire sécurisé - protection anti-intrusion</x:v>
      </x:c>
      <x:c r="E5" s="33" t="str">
        <x:v>Travaux d'équipement électrique.</x:v>
      </x:c>
      <x:c r="F5" s="36" t="n">
        <x:v>211961</x:v>
      </x:c>
      <x:c r="G5" s="38" t="n">
        <x:v>42838</x:v>
      </x:c>
      <x:c r="H5" s="38" t="n">
        <x:v>42838</x:v>
      </x:c>
      <x:c r="I5" s="40" t="n">
        <x:v>13</x:v>
      </x:c>
      <x:c r="J5" s="33" t="str"/>
      <x:c r="K5" s="33" t="str"/>
      <x:c r="L5" s="33" t="str"/>
      <x:c r="M5" s="33" t="str">
        <x:v>(35) Ille-et-Vilaine</x:v>
      </x:c>
      <x:c r="N5" s="33" t="str">
        <x:v>Oui</x:v>
      </x:c>
      <x:c r="O5" s="33" t="str">
        <x:v>data.gouv.fr_aife</x:v>
      </x:c>
      <x:c r="P5" s="33" t="str">
        <x:v>2017150794269400</x:v>
      </x:c>
    </x:row>
    <x:row r="6">
      <x:c r="A6" s="33" t="str">
        <x:v>2017150794274000</x:v>
      </x:c>
      <x:c r="B6" s="33" t="str">
        <x:v>MINARM / SGA / SID / ESID Rennes - Etablissement du service d'infrastructure de la défense de Rennes - ESID Rennes</x:v>
      </x:c>
      <x:c r="C6" s="33" t="str">
        <x:v>SOCIETE-MISSENARD QUINT B</x:v>
      </x:c>
      <x:c r="D6" s="33" t="str">
        <x:v>Construction d'un bâtiment tertiaire sécurisé - génie climatique</x:v>
      </x:c>
      <x:c r="E6" s="33" t="str">
        <x:v>Travaux d'équipement électrique.</x:v>
      </x:c>
      <x:c r="F6" s="36" t="n">
        <x:v>1064989</x:v>
      </x:c>
      <x:c r="G6" s="38" t="n">
        <x:v>42838</x:v>
      </x:c>
      <x:c r="H6" s="38" t="n">
        <x:v>42838</x:v>
      </x:c>
      <x:c r="I6" s="40" t="n">
        <x:v>13</x:v>
      </x:c>
      <x:c r="J6" s="33" t="str"/>
      <x:c r="K6" s="33" t="str"/>
      <x:c r="L6" s="33" t="str"/>
      <x:c r="M6" s="33" t="str">
        <x:v>(35) Ille-et-Vilaine</x:v>
      </x:c>
      <x:c r="N6" s="33" t="str">
        <x:v>Oui</x:v>
      </x:c>
      <x:c r="O6" s="33" t="str">
        <x:v>data.gouv.fr_aife</x:v>
      </x:c>
      <x:c r="P6" s="33" t="str">
        <x:v>2017150794274000</x:v>
      </x:c>
    </x:row>
    <x:row r="7">
      <x:c r="A7" s="33" t="str">
        <x:v>2017110003896200</x:v>
      </x:c>
      <x:c r="B7" s="33" t="str">
        <x:v>MINARM / SGA / SID / ESID Rennes - Etablissement du service d'infrastructure de la défense de Rennes - ESID Rennes</x:v>
      </x:c>
      <x:c r="C7" s="33" t="str">
        <x:v>EUROVIA CENTRE LOIRE</x:v>
      </x:c>
      <x:c r="D7" s="33" t="str">
        <x:v>NEUVY PAILLOUX (36) Quartier IG Marechal 12o BSMAT Mise en conformité des installations classées pour la protection de l'environnement</x:v>
      </x:c>
      <x:c r="E7" s="33" t="str">
        <x:v>Modernisation d'installations.</x:v>
      </x:c>
      <x:c r="F7" s="36" t="n">
        <x:v>2489188</x:v>
      </x:c>
      <x:c r="G7" s="38" t="n">
        <x:v>42951</x:v>
      </x:c>
      <x:c r="H7" s="38" t="n">
        <x:v>42951</x:v>
      </x:c>
      <x:c r="I7" s="40" t="n">
        <x:v>30</x:v>
      </x:c>
      <x:c r="J7" s="33" t="str"/>
      <x:c r="K7" s="33" t="str"/>
      <x:c r="L7" s="33" t="str"/>
      <x:c r="M7" s="33" t="str">
        <x:v>(35) Ille-et-Vilaine</x:v>
      </x:c>
      <x:c r="N7" s="33" t="str">
        <x:v>Oui</x:v>
      </x:c>
      <x:c r="O7" s="33" t="str">
        <x:v>data.gouv.fr_aife</x:v>
      </x:c>
      <x:c r="P7" s="33" t="str">
        <x:v>2017110003896200</x:v>
      </x:c>
    </x:row>
    <x:row r="8">
      <x:c r="A8" s="33" t="str">
        <x:v>20172019S1662400</x:v>
      </x:c>
      <x:c r="B8" s="33" t="str">
        <x:v>MINARM / ESTM / EPA / ISAE - Institut supérieur de l'aéronautique et de l'espace (ISAE)</x:v>
      </x:c>
      <x:c r="C8" s="33" t="str">
        <x:v>ELYFEC</x:v>
      </x:c>
      <x:c r="D8" s="33" t="str">
        <x:v>Missions de coordination en matière de sécurité et de protection de la santé pour l'ensemble des études et des travaux de l'ISAE</x:v>
      </x:c>
      <x:c r="E8" s="33" t="str">
        <x:v>Services de conseil en matière de santé et de sécurité.</x:v>
      </x:c>
      <x:c r="F8" s="36" t="n">
        <x:v>632000</x:v>
      </x:c>
      <x:c r="G8" s="38" t="n">
        <x:v>43024</x:v>
      </x:c>
      <x:c r="H8" s="38" t="n">
        <x:v>43024</x:v>
      </x:c>
      <x:c r="I8" s="40" t="n">
        <x:v>48</x:v>
      </x:c>
      <x:c r="J8" s="33" t="str">
        <x:v>Marché</x:v>
      </x:c>
      <x:c r="K8" s="33" t="str">
        <x:v>Appel d'offres ouvert</x:v>
      </x:c>
      <x:c r="L8" s="33" t="str">
        <x:v>Révisable</x:v>
      </x:c>
      <x:c r="M8" s="33" t="str">
        <x:v>(31) Haute-Garonne</x:v>
      </x:c>
      <x:c r="N8" s="33" t="str">
        <x:v>Oui</x:v>
      </x:c>
      <x:c r="O8" s="33" t="str">
        <x:v>data.gouv.fr_aife</x:v>
      </x:c>
      <x:c r="P8" s="33" t="str">
        <x:v>20172019S1662400</x:v>
      </x:c>
    </x:row>
    <x:row r="9">
      <x:c r="A9" s="33" t="str">
        <x:v>2017110004022000</x:v>
      </x:c>
      <x:c r="B9" s="33" t="str">
        <x:v>MINARM / SGA / SID / ESID Rennes - Etablissement du service d'infrastructure de la défense de Rennes - ESID Rennes</x:v>
      </x:c>
      <x:c r="C9" s="33" t="str">
        <x:v>ICOMME</x:v>
      </x:c>
      <x:c r="D9" s="33" t="str">
        <x:v>EVREUX (27) - BA105 - Construction d'aires aéronautiques, de hangars de maintenance et d'un bâtiment tertiaire - Assistance à maîtrise d'ouvrage (AMO) pour la passation d'un marché de conception, construction, aménagement, entretien, maintenance (CCAEM)...</x:v>
      </x:c>
      <x:c r="E9" s="33" t="str">
        <x:v>Services d'ingénierie.</x:v>
      </x:c>
      <x:c r="F9" s="36" t="n">
        <x:v>189680</x:v>
      </x:c>
      <x:c r="G9" s="38" t="n">
        <x:v>43056</x:v>
      </x:c>
      <x:c r="H9" s="38" t="n">
        <x:v>43056</x:v>
      </x:c>
      <x:c r="I9" s="40" t="n">
        <x:v>30</x:v>
      </x:c>
      <x:c r="J9" s="33" t="str"/>
      <x:c r="K9" s="33" t="str"/>
      <x:c r="L9" s="33" t="str"/>
      <x:c r="M9" s="33" t="str">
        <x:v>(35) Ille-et-Vilaine</x:v>
      </x:c>
      <x:c r="N9" s="33" t="str">
        <x:v>Oui</x:v>
      </x:c>
      <x:c r="O9" s="33" t="str">
        <x:v>data.gouv.fr_aife</x:v>
      </x:c>
      <x:c r="P9" s="33" t="str">
        <x:v>2017110004022000</x:v>
      </x:c>
    </x:row>
    <x:row r="10">
      <x:c r="A10" s="33" t="str">
        <x:v>20172017S0006100</x:v>
      </x:c>
      <x:c r="B10" s="33" t="str">
        <x:v>MINARM / ESTM / EPA / ISAE - Institut supérieur de l'aéronautique et de l'espace (ISAE)</x:v>
      </x:c>
      <x:c r="C10" s="33" t="str">
        <x:v>QUILLAN SERVICES SARL</x:v>
      </x:c>
      <x:c r="D10" s="33" t="str">
        <x:v>Prestations de nettoyage des locaux et des vitrages de l'ISAE-SUPAERO - Prestations de nettoyage des vitrages extérieurs et nettoyages spécifiques et techniques de locaux</x:v>
      </x:c>
      <x:c r="E10" s="33" t="str">
        <x:v>Services de nettoyage.</x:v>
      </x:c>
      <x:c r="F10" s="36" t="n">
        <x:v>270322</x:v>
      </x:c>
      <x:c r="G10" s="38" t="n">
        <x:v>43089</x:v>
      </x:c>
      <x:c r="H10" s="38" t="n">
        <x:v>43089</x:v>
      </x:c>
      <x:c r="I10" s="40" t="n">
        <x:v>48</x:v>
      </x:c>
      <x:c r="J10" s="33" t="str">
        <x:v>Marché</x:v>
      </x:c>
      <x:c r="K10" s="33" t="str">
        <x:v>Appel d'offres ouvert</x:v>
      </x:c>
      <x:c r="L10" s="33" t="str">
        <x:v>Révisable</x:v>
      </x:c>
      <x:c r="M10" s="33" t="str">
        <x:v>(31) Haute-Garonne</x:v>
      </x:c>
      <x:c r="N10" s="33" t="str">
        <x:v>Oui</x:v>
      </x:c>
      <x:c r="O10" s="33" t="str">
        <x:v>data.gouv.fr_aife</x:v>
      </x:c>
      <x:c r="P10" s="33" t="str">
        <x:v>20172017S0006100</x:v>
      </x:c>
    </x:row>
    <x:row r="11">
      <x:c r="A11" s="33" t="str">
        <x:v>20172017S0006000</x:v>
      </x:c>
      <x:c r="B11" s="33" t="str">
        <x:v>MINARM / ESTM / EPA / ISAE - Institut supérieur de l'aéronautique et de l'espace (ISAE)</x:v>
      </x:c>
      <x:c r="C11" s="33" t="str">
        <x:v>GROUPEMENT INTERACTIF DES METIERS DE NETTOYAGE ET DE SERVICES REGION</x:v>
      </x:c>
      <x:c r="D11" s="33" t="str">
        <x:v>Prestations de nettoyage des locaux et des vitrages de l'ISAE-SUPAERO - Prestations de nettoyage courant et permanent des locaux</x:v>
      </x:c>
      <x:c r="E11" s="33" t="str">
        <x:v>Services de nettoyage.</x:v>
      </x:c>
      <x:c r="F11" s="36" t="n">
        <x:v>1780088</x:v>
      </x:c>
      <x:c r="G11" s="38" t="n">
        <x:v>43089</x:v>
      </x:c>
      <x:c r="H11" s="38" t="n">
        <x:v>43089</x:v>
      </x:c>
      <x:c r="I11" s="40" t="n">
        <x:v>48</x:v>
      </x:c>
      <x:c r="J11" s="33" t="str">
        <x:v>Marché</x:v>
      </x:c>
      <x:c r="K11" s="33" t="str">
        <x:v>Appel d'offres ouvert</x:v>
      </x:c>
      <x:c r="L11" s="33" t="str">
        <x:v>Révisable</x:v>
      </x:c>
      <x:c r="M11" s="33" t="str">
        <x:v>(31) Haute-Garonne</x:v>
      </x:c>
      <x:c r="N11" s="33" t="str">
        <x:v>Oui</x:v>
      </x:c>
      <x:c r="O11" s="33" t="str">
        <x:v>data.gouv.fr_aife</x:v>
      </x:c>
      <x:c r="P11" s="33" t="str">
        <x:v>20172017S0006000</x:v>
      </x:c>
    </x:row>
    <x:row r="12">
      <x:c r="A12" s="33" t="str">
        <x:v>20182018F8002300</x:v>
      </x:c>
      <x:c r="B12" s="33" t="str">
        <x:v>MINARM / SSF / DSSF Brest - Direction du service de soutien de la flotte de Brest - DSSF Brest</x:v>
      </x:c>
      <x:c r="C12" s="33" t="str">
        <x:v>SKF FRANCE</x:v>
      </x:c>
      <x:c r="D12" s="33" t="str">
        <x:v>Acquisition et maintien en condition opérationnelle d'appareils d'analyse vibratoire au profit des bâtiments de la Marine Nationale</x:v>
      </x:c>
      <x:c r="E12" s="33" t="str">
        <x:v>Appareils de détection et d'analyse.</x:v>
      </x:c>
      <x:c r="F12" s="36" t="n">
        <x:v>393196</x:v>
      </x:c>
      <x:c r="G12" s="38" t="n">
        <x:v>43101</x:v>
      </x:c>
      <x:c r="H12" s="38" t="n">
        <x:v>43101</x:v>
      </x:c>
      <x:c r="I12" s="40" t="n">
        <x:v>48</x:v>
      </x:c>
      <x:c r="J12" s="33" t="str">
        <x:v>Accord-cadre</x:v>
      </x:c>
      <x:c r="K12" s="33" t="str"/>
      <x:c r="L12" s="33" t="str">
        <x:v>Révisable</x:v>
      </x:c>
      <x:c r="M12" s="33" t="str">
        <x:v>(29) Finistère</x:v>
      </x:c>
      <x:c r="N12" s="33" t="str">
        <x:v>Oui</x:v>
      </x:c>
      <x:c r="O12" s="33" t="str">
        <x:v>data.gouv.fr_aife</x:v>
      </x:c>
      <x:c r="P12" s="33" t="str">
        <x:v>20182018F8002300</x:v>
      </x:c>
    </x:row>
    <x:row r="13">
      <x:c r="A13" s="33" t="str">
        <x:v>20182018S5927400</x:v>
      </x:c>
      <x:c r="B13" s="33" t="str">
        <x:v>MINARM / SSF / DSSF Brest - Direction du service de soutien de la flotte de Brest - DSSF Brest</x:v>
      </x:c>
      <x:c r="C13" s="33" t="str">
        <x:v>NAVAL GROUP</x:v>
      </x:c>
      <x:c r="D13" s="33" t="str">
        <x:v>Maintien en condition opérationnelle de la plateforme propulsée des Chasseurs de Mines tripartites (CMT) de la Marine Nationale</x:v>
      </x:c>
      <x:c r="E13" s="33" t="str">
        <x:v>Chasseurs de mines/dragueurs de mines.</x:v>
      </x:c>
      <x:c r="F13" s="36" t="n">
        <x:v>145048939</x:v>
      </x:c>
      <x:c r="G13" s="38" t="n">
        <x:v>43101</x:v>
      </x:c>
      <x:c r="H13" s="38" t="n">
        <x:v>43101</x:v>
      </x:c>
      <x:c r="I13" s="40" t="n">
        <x:v>66</x:v>
      </x:c>
      <x:c r="J13" s="33" t="str">
        <x:v>Accord-cadre</x:v>
      </x:c>
      <x:c r="K13" s="33" t="str"/>
      <x:c r="L13" s="33" t="str">
        <x:v>Révisable</x:v>
      </x:c>
      <x:c r="M13" s="33" t="str">
        <x:v>(29) Finistère</x:v>
      </x:c>
      <x:c r="N13" s="33" t="str">
        <x:v>Oui</x:v>
      </x:c>
      <x:c r="O13" s="33" t="str">
        <x:v>data.gouv.fr_aife</x:v>
      </x:c>
      <x:c r="P13" s="33" t="str">
        <x:v>20182018S5927400</x:v>
      </x:c>
    </x:row>
    <x:row r="14">
      <x:c r="A14" s="33" t="str">
        <x:v>20182018F7074000</x:v>
      </x:c>
      <x:c r="B14" s="33" t="str">
        <x:v>MINARM / SSF / DSSF Brest - Direction du service de soutien de la flotte de Brest - DSSF Brest</x:v>
      </x:c>
      <x:c r="C14" s="33" t="str">
        <x:v>MATERIELS INDUSTRIELS DE SECURITE</x:v>
      </x:c>
      <x:c r="D14" s="33" t="str">
        <x:v>Acquisition et maintien en condition opérationnelle d'appareils respiratoires isolants (ARI) à circuit ouvert au profit des bâtiments et unités à terre de la Marine Nationale</x:v>
      </x:c>
      <x:c r="E14" s="33" t="str">
        <x:v>Appareils respiratoires pour la lutte contre l'incendie.</x:v>
      </x:c>
      <x:c r="F14" s="36" t="n">
        <x:v>14566824</x:v>
      </x:c>
      <x:c r="G14" s="38" t="n">
        <x:v>43101</x:v>
      </x:c>
      <x:c r="H14" s="38" t="n">
        <x:v>43101</x:v>
      </x:c>
      <x:c r="I14" s="40" t="n">
        <x:v>48</x:v>
      </x:c>
      <x:c r="J14" s="33" t="str">
        <x:v>Accord-cadre</x:v>
      </x:c>
      <x:c r="K14" s="33" t="str"/>
      <x:c r="L14" s="33" t="str">
        <x:v>Révisable</x:v>
      </x:c>
      <x:c r="M14" s="33" t="str">
        <x:v>(29) Finistère</x:v>
      </x:c>
      <x:c r="N14" s="33" t="str">
        <x:v>Oui</x:v>
      </x:c>
      <x:c r="O14" s="33" t="str">
        <x:v>data.gouv.fr_aife</x:v>
      </x:c>
      <x:c r="P14" s="33" t="str">
        <x:v>20182018F7074000</x:v>
      </x:c>
    </x:row>
    <x:row r="15">
      <x:c r="A15" s="33" t="str">
        <x:v>20182018S8002200</x:v>
      </x:c>
      <x:c r="B15" s="33" t="str">
        <x:v>MINARM / SSF / DSSF Brest - Direction du service de soutien de la flotte de Brest - DSSF Brest</x:v>
      </x:c>
      <x:c r="C15" s="33" t="str">
        <x:v>NAVAL GROUP</x:v>
      </x:c>
      <x:c r="D15" s="33" t="str">
        <x:v>Maintien en condition opérationnelle des frégates multi-missions (FREMM18).</x:v>
      </x:c>
      <x:c r="E15" s="33" t="str">
        <x:v>Services de réparation et d'entretien des navires de guerre.</x:v>
      </x:c>
      <x:c r="F15" s="36" t="n">
        <x:v>432617760</x:v>
      </x:c>
      <x:c r="G15" s="38" t="n">
        <x:v>43101</x:v>
      </x:c>
      <x:c r="H15" s="38" t="n">
        <x:v>43101</x:v>
      </x:c>
      <x:c r="I15" s="40" t="n">
        <x:v>48</x:v>
      </x:c>
      <x:c r="J15" s="33" t="str">
        <x:v>Accord-cadre</x:v>
      </x:c>
      <x:c r="K15" s="33" t="str"/>
      <x:c r="L15" s="33" t="str">
        <x:v>Révisable</x:v>
      </x:c>
      <x:c r="M15" s="33" t="str">
        <x:v>(29) Finistère</x:v>
      </x:c>
      <x:c r="N15" s="33" t="str">
        <x:v>Oui</x:v>
      </x:c>
      <x:c r="O15" s="33" t="str">
        <x:v>data.gouv.fr_aife</x:v>
      </x:c>
      <x:c r="P15" s="33" t="str">
        <x:v>20182018S8002200</x:v>
      </x:c>
    </x:row>
    <x:row r="16">
      <x:c r="A16" s="33" t="str">
        <x:v>20182018S9430800</x:v>
      </x:c>
      <x:c r="B16" s="33" t="str">
        <x:v>MINARM / SSF / DSSF Brest - Direction du service de soutien de la flotte de Brest - DSSF Brest</x:v>
      </x:c>
      <x:c r="C16" s="33" t="str">
        <x:v>PIRIOU NAVAL SERVICES</x:v>
      </x:c>
      <x:c r="D16" s="33" t="str">
        <x:v>Maintien en Condition Opérationnelle (MCO) des engins et moyens nautiques de la marine, de la DGA et de l'armée de terre, en Bretagne</x:v>
      </x:c>
      <x:c r="E16" s="33" t="str">
        <x:v>Services de réparation et d'entretien de bateaux.</x:v>
      </x:c>
      <x:c r="F16" s="36" t="n">
        <x:v>20000000</x:v>
      </x:c>
      <x:c r="G16" s="38" t="n">
        <x:v>43101</x:v>
      </x:c>
      <x:c r="H16" s="38" t="n">
        <x:v>43101</x:v>
      </x:c>
      <x:c r="I16" s="40" t="n">
        <x:v>48</x:v>
      </x:c>
      <x:c r="J16" s="33" t="str">
        <x:v>Accord-cadre</x:v>
      </x:c>
      <x:c r="K16" s="33" t="str"/>
      <x:c r="L16" s="33" t="str">
        <x:v>Révisable</x:v>
      </x:c>
      <x:c r="M16" s="33" t="str">
        <x:v>(29) Finistère</x:v>
      </x:c>
      <x:c r="N16" s="33" t="str">
        <x:v>Oui</x:v>
      </x:c>
      <x:c r="O16" s="33" t="str">
        <x:v>data.gouv.fr_aife</x:v>
      </x:c>
      <x:c r="P16" s="33" t="str">
        <x:v>20182018S9430800</x:v>
      </x:c>
    </x:row>
    <x:row r="17">
      <x:c r="A17" s="33" t="str">
        <x:v>2018150918668800</x:v>
      </x:c>
      <x:c r="B17" s="33" t="str">
        <x:v>MINARM / SSF / DSSF Brest - Direction du service de soutien de la flotte de Brest - DSSF Brest</x:v>
      </x:c>
      <x:c r="C17" s="33" t="str">
        <x:v>APPLICATIONS PROFESSIONNELLES ET INNOVATION TECHNOLOGIQUE</x:v>
      </x:c>
      <x:c r="D17" s="33" t="str">
        <x:v>Approvisionnement de pinces pour fusible de marque APITECH ou équivalent au profit des bâtiments de la Marine Nationale</x:v>
      </x:c>
      <x:c r="E17" s="33" t="str">
        <x:v>Pièces de rechange pour coque et pièces mécaniques pour navires de guerre.</x:v>
      </x:c>
      <x:c r="F17" s="36" t="n">
        <x:v>19070</x:v>
      </x:c>
      <x:c r="G17" s="38" t="n">
        <x:v>43104</x:v>
      </x:c>
      <x:c r="H17" s="38" t="n">
        <x:v>43104</x:v>
      </x:c>
      <x:c r="I17" s="40" t="n">
        <x:v>2</x:v>
      </x:c>
      <x:c r="J17" s="33" t="str">
        <x:v>Marché</x:v>
      </x:c>
      <x:c r="K17" s="33" t="str">
        <x:v>Procédure adaptée</x:v>
      </x:c>
      <x:c r="L17" s="33" t="str">
        <x:v>Ferme</x:v>
      </x:c>
      <x:c r="M17" s="33" t="str">
        <x:v>(29) Finistère</x:v>
      </x:c>
      <x:c r="N17" s="33" t="str">
        <x:v>Oui</x:v>
      </x:c>
      <x:c r="O17" s="33" t="str">
        <x:v>data.gouv.fr_aife</x:v>
      </x:c>
      <x:c r="P17" s="33" t="str">
        <x:v>2018150918668800</x:v>
      </x:c>
    </x:row>
    <x:row r="18">
      <x:c r="A18" s="33" t="str">
        <x:v>2018160005006000</x:v>
      </x:c>
      <x:c r="B18" s="33" t="str">
        <x:v>MINARM / SGA / SID / ESID Rennes - Etablissement du service d'infrastructure de la défense de Rennes - ESID Rennes</x:v>
      </x:c>
      <x:c r="C18" s="33" t="str">
        <x:v>SMAC</x:v>
      </x:c>
      <x:c r="D18" s="33" t="str">
        <x:v>BOURGES (18) - DGA TT - Construction d'un hangar de stockage de moyens de mesures lourds à Bourges et d'un hangar ATR à Givry (Commune de Crosses) - Couverture / Bardage / Serrurerie</x:v>
      </x:c>
      <x:c r="E18" s="33" t="str">
        <x:v>Travaux de couverture et travaux d'autres corps de métier spécialisés.</x:v>
      </x:c>
      <x:c r="F18" s="36" t="n">
        <x:v>270952</x:v>
      </x:c>
      <x:c r="G18" s="38" t="n">
        <x:v>43110</x:v>
      </x:c>
      <x:c r="H18" s="38" t="n">
        <x:v>43110</x:v>
      </x:c>
      <x:c r="I18" s="40" t="n">
        <x:v>17</x:v>
      </x:c>
      <x:c r="J18" s="33" t="str">
        <x:v>Marché</x:v>
      </x:c>
      <x:c r="K18" s="33" t="str">
        <x:v>Procédure adaptée</x:v>
      </x:c>
      <x:c r="L18" s="33" t="str">
        <x:v>Révisable</x:v>
      </x:c>
      <x:c r="M18" s="33" t="str">
        <x:v>(18) Cher</x:v>
      </x:c>
      <x:c r="N18" s="33" t="str">
        <x:v>Oui</x:v>
      </x:c>
      <x:c r="O18" s="33" t="str">
        <x:v>data.gouv.fr_aife</x:v>
      </x:c>
      <x:c r="P18" s="33" t="str">
        <x:v>2018160005006000</x:v>
      </x:c>
    </x:row>
    <x:row r="19">
      <x:c r="A19" s="33" t="str">
        <x:v>2018100013337200</x:v>
      </x:c>
      <x:c r="B19" s="33" t="str">
        <x:v>MINARM / SGA / SID / ESID Bordeaux - Etablissement du service d'infrastructure de la défense de Bordeaux - ESID Bordeaux</x:v>
      </x:c>
      <x:c r="C19" s="33" t="str">
        <x:v>ATLANTIQUE COORDINATION ET INGENIERIE</x:v>
      </x:c>
      <x:c r="D19" s="33" t="str">
        <x:v>POITIERS (86) - Quartier LE PULOCH - RICM - Construction des infrastructures SCORPION - Marché relatif à des missions de coordination en matière de sécurité et de protection de la santé des travailleurs sur le chantier de 1ère catégorie -</x:v>
      </x:c>
      <x:c r="E19" s="33" t="str">
        <x:v>Services de conseil en matière de santé et de sécurité.</x:v>
      </x:c>
      <x:c r="F19" s="36" t="n">
        <x:v>16716</x:v>
      </x:c>
      <x:c r="G19" s="38" t="n">
        <x:v>43118</x:v>
      </x:c>
      <x:c r="H19" s="38" t="n">
        <x:v>43118</x:v>
      </x:c>
      <x:c r="I19" s="40" t="n">
        <x:v>51</x:v>
      </x:c>
      <x:c r="J19" s="33" t="str">
        <x:v>Marché</x:v>
      </x:c>
      <x:c r="K19" s="33" t="str">
        <x:v>Procédure adaptée</x:v>
      </x:c>
      <x:c r="L19" s="33" t="str">
        <x:v>Révisable</x:v>
      </x:c>
      <x:c r="M19" s="33" t="str">
        <x:v>(86) Vienne</x:v>
      </x:c>
      <x:c r="N19" s="33" t="str">
        <x:v>Oui</x:v>
      </x:c>
      <x:c r="O19" s="33" t="str">
        <x:v>data.gouv.fr_aife</x:v>
      </x:c>
      <x:c r="P19" s="33" t="str">
        <x:v>2018100013337200</x:v>
      </x:c>
    </x:row>
    <x:row r="20">
      <x:c r="A20" s="33" t="str">
        <x:v>2018150841197900</x:v>
      </x:c>
      <x:c r="B20" s="33" t="str">
        <x:v>MINARM / SGA / SID / ESID IDF - Etablissement du Service d'infrastructure de la défense d'Ile de France - ESID Ile de France</x:v>
      </x:c>
      <x:c r="C20" s="33" t="str">
        <x:v>RCM</x:v>
      </x:c>
      <x:c r="D20" s="33" t="str">
        <x:v>L'opération consiste en la réhabilitation du bâtiment Red Cross comprenant la rénovation du parking et des abords. Elle intègre principalement, l'isolation du bâtiment, la transformation des chambres de passage en logement, l'accessibilité PMR, avec not...</x:v>
      </x:c>
      <x:c r="E20" s="33" t="str">
        <x:v>Services de voirie.</x:v>
      </x:c>
      <x:c r="F20" s="36" t="n">
        <x:v>96000</x:v>
      </x:c>
      <x:c r="G20" s="38" t="n">
        <x:v>43130</x:v>
      </x:c>
      <x:c r="H20" s="38" t="n">
        <x:v>43130</x:v>
      </x:c>
      <x:c r="I20" s="40" t="n">
        <x:v>9</x:v>
      </x:c>
      <x:c r="J20" s="33" t="str"/>
      <x:c r="K20" s="33" t="str"/>
      <x:c r="L20" s="33" t="str"/>
      <x:c r="M20" s="33" t="str">
        <x:v>(91) Essonne</x:v>
      </x:c>
      <x:c r="N20" s="33" t="str">
        <x:v>Oui</x:v>
      </x:c>
      <x:c r="O20" s="33" t="str">
        <x:v>data.gouv.fr_aife</x:v>
      </x:c>
      <x:c r="P20" s="33" t="str">
        <x:v>2018150841197900</x:v>
      </x:c>
    </x:row>
    <x:row r="21">
      <x:c r="A21" s="33" t="str">
        <x:v>2018100013337000</x:v>
      </x:c>
      <x:c r="B21" s="33" t="str">
        <x:v>MINARM / SGA / SID / ESID Metz - Etablissement du service d'infrastructure de la défense de Metz - ESID Metz</x:v>
      </x:c>
      <x:c r="C21" s="33" t="str">
        <x:v>INGEROP Conseil et ing�nierie</x:v>
      </x:c>
      <x:c r="D21" s="33" t="str">
        <x:v>BRIENNE LE CHATEAU (10) – EPMu - Rénovation du réseau électrique et protection contre les effets de la foudre - Marché public de maîtrise d’œuvre : Mission de base + OPC - ID 441958</x:v>
      </x:c>
      <x:c r="E21" s="33" t="str">
        <x:v>Services divers d'ingénierie.</x:v>
      </x:c>
      <x:c r="F21" s="36" t="n">
        <x:v>325838</x:v>
      </x:c>
      <x:c r="G21" s="38" t="n">
        <x:v>43135</x:v>
      </x:c>
      <x:c r="H21" s="38" t="n">
        <x:v>43135</x:v>
      </x:c>
      <x:c r="I21" s="40" t="n">
        <x:v>53</x:v>
      </x:c>
      <x:c r="J21" s="33" t="str">
        <x:v>Marché</x:v>
      </x:c>
      <x:c r="K21" s="33" t="str">
        <x:v>Appel d'offres ouvert</x:v>
      </x:c>
      <x:c r="L21" s="33" t="str">
        <x:v>Révisable</x:v>
      </x:c>
      <x:c r="M21" s="33" t="str">
        <x:v>(10) Aube</x:v>
      </x:c>
      <x:c r="N21" s="33" t="str">
        <x:v>Oui</x:v>
      </x:c>
      <x:c r="O21" s="33" t="str">
        <x:v>data.gouv.fr_aife</x:v>
      </x:c>
      <x:c r="P21" s="33" t="str">
        <x:v>2018100013337000</x:v>
      </x:c>
    </x:row>
    <x:row r="22">
      <x:c r="A22" s="33" t="str">
        <x:v>2018150923267200</x:v>
      </x:c>
      <x:c r="B22" s="33" t="str">
        <x:v>MINARM / DIRISI - Direction Interarmées des Réseaux d'Infrastructure et des Systèmes d'Information de la défense</x:v>
      </x:c>
      <x:c r="C22" s="33" t="str">
        <x:v>THALES SIX GTS FRANCE SAS</x:v>
      </x:c>
      <x:c r="D22" s="33" t="str">
        <x:v>Acquisition de licences d’analyse technique au profit du ministère des armées.</x:v>
      </x:c>
      <x:c r="E22" s="33" t="str">
        <x:v>Logiciels et systèmes d'information.</x:v>
      </x:c>
      <x:c r="F22" s="36" t="n">
        <x:v>96000</x:v>
      </x:c>
      <x:c r="G22" s="38" t="n">
        <x:v>43139</x:v>
      </x:c>
      <x:c r="H22" s="38" t="n">
        <x:v>43139</x:v>
      </x:c>
      <x:c r="I22" s="40" t="n">
        <x:v>1</x:v>
      </x:c>
      <x:c r="J22" s="33" t="str">
        <x:v>Marché</x:v>
      </x:c>
      <x:c r="K22" s="33" t="str">
        <x:v>Appel d'offres ouvert</x:v>
      </x:c>
      <x:c r="L22" s="33" t="str">
        <x:v>Ferme</x:v>
      </x:c>
      <x:c r="M22" s="33" t="str">
        <x:v>(29) Finistère</x:v>
      </x:c>
      <x:c r="N22" s="33" t="str">
        <x:v>Oui</x:v>
      </x:c>
      <x:c r="O22" s="33" t="str">
        <x:v>data.gouv.fr_aife</x:v>
      </x:c>
      <x:c r="P22" s="33" t="str">
        <x:v>2018150923267200</x:v>
      </x:c>
    </x:row>
    <x:row r="23">
      <x:c r="A23" s="33" t="str">
        <x:v>20182018F1911600</x:v>
      </x:c>
      <x:c r="B23" s="33" t="str">
        <x:v>MINARM / ESTM / EPA / Ecole Polytechnique - Ecole Polytechnique</x:v>
      </x:c>
      <x:c r="C23" s="33" t="str">
        <x:v>LOGOTEK</x:v>
      </x:c>
      <x:c r="D23" s="33" t="str">
        <x:v>Fourniture d'une solution informatique en mode hébergé pour la gestion des denrées et consommables du service de la restauration de l'Ecole polytechnique</x:v>
      </x:c>
      <x:c r="E23" s="33" t="str">
        <x:v>Logiciels et systèmes d'information.</x:v>
      </x:c>
      <x:c r="F23" s="36" t="n">
        <x:v>32934</x:v>
      </x:c>
      <x:c r="G23" s="38" t="n">
        <x:v>43140</x:v>
      </x:c>
      <x:c r="H23" s="38" t="n">
        <x:v>43140</x:v>
      </x:c>
      <x:c r="I23" s="40" t="n">
        <x:v>3</x:v>
      </x:c>
      <x:c r="J23" s="33" t="str">
        <x:v>Marché</x:v>
      </x:c>
      <x:c r="K23" s="33" t="str">
        <x:v>Procédure adaptée</x:v>
      </x:c>
      <x:c r="L23" s="33" t="str">
        <x:v>Ferme</x:v>
      </x:c>
      <x:c r="M23" s="33" t="str">
        <x:v>(91) Essonne</x:v>
      </x:c>
      <x:c r="N23" s="33" t="str">
        <x:v>Oui</x:v>
      </x:c>
      <x:c r="O23" s="33" t="str">
        <x:v>data.gouv.fr_aife</x:v>
      </x:c>
      <x:c r="P23" s="33" t="str">
        <x:v>20182018F1911600</x:v>
      </x:c>
    </x:row>
    <x:row r="24">
      <x:c r="A24" s="33" t="str">
        <x:v>20182018F1911800</x:v>
      </x:c>
      <x:c r="B24" s="33" t="str">
        <x:v>MINARM / ESTM / EPA / Ecole Polytechnique - Ecole Polytechnique</x:v>
      </x:c>
      <x:c r="C24" s="33" t="str">
        <x:v>GRAND SALOIR SAINT-NICOLAS</x:v>
      </x:c>
      <x:c r="D24" s="33" t="str">
        <x:v>FOURNITURE ET LIVRAISON DE PRODUITS ALIMENTAIRES POUR LE SITE DE L'ECOLE POLYTECHNIQUE - CHARCUTERIE ET PRODUITS TRAITEUR</x:v>
      </x:c>
      <x:c r="E24" s="33" t="str">
        <x:v>Charcuterie.</x:v>
      </x:c>
      <x:c r="F24" s="36" t="n">
        <x:v>35000</x:v>
      </x:c>
      <x:c r="G24" s="38" t="n">
        <x:v>43143</x:v>
      </x:c>
      <x:c r="H24" s="38" t="n">
        <x:v>43143</x:v>
      </x:c>
      <x:c r="I24" s="40" t="n">
        <x:v>36</x:v>
      </x:c>
      <x:c r="J24" s="33" t="str">
        <x:v>Marché</x:v>
      </x:c>
      <x:c r="K24" s="33" t="str">
        <x:v>Appel d'offres ouvert</x:v>
      </x:c>
      <x:c r="L24" s="33" t="str">
        <x:v>Révisable</x:v>
      </x:c>
      <x:c r="M24" s="33" t="str">
        <x:v>(91) Essonne</x:v>
      </x:c>
      <x:c r="N24" s="33" t="str">
        <x:v>Oui</x:v>
      </x:c>
      <x:c r="O24" s="33" t="str">
        <x:v>data.gouv.fr_aife</x:v>
      </x:c>
      <x:c r="P24" s="33" t="str">
        <x:v>20182018F1911800</x:v>
      </x:c>
    </x:row>
    <x:row r="25">
      <x:c r="A25" s="33" t="str">
        <x:v>20182018F1911700</x:v>
      </x:c>
      <x:c r="B25" s="33" t="str">
        <x:v>MINARM / ESTM / EPA / Ecole Polytechnique - Ecole Polytechnique</x:v>
      </x:c>
      <x:c r="C25" s="33" t="str">
        <x:v>APC FOOD</x:v>
      </x:c>
      <x:c r="D25" s="33" t="str">
        <x:v>FOURNITURE ET LIVRAISON DE PRODUITS ALIMENTAIRES POUR LE SITE DE L'ECOLE POLYTECHNIQUE - FOURNITURE DE PIZZAS</x:v>
      </x:c>
      <x:c r="E25" s="33" t="str">
        <x:v>Produits alimentaires divers.</x:v>
      </x:c>
      <x:c r="F25" s="36" t="n">
        <x:v>35000</x:v>
      </x:c>
      <x:c r="G25" s="38" t="n">
        <x:v>43143</x:v>
      </x:c>
      <x:c r="H25" s="38" t="n">
        <x:v>43143</x:v>
      </x:c>
      <x:c r="I25" s="40" t="n">
        <x:v>36</x:v>
      </x:c>
      <x:c r="J25" s="33" t="str">
        <x:v>Marché</x:v>
      </x:c>
      <x:c r="K25" s="33" t="str">
        <x:v>Appel d'offres ouvert</x:v>
      </x:c>
      <x:c r="L25" s="33" t="str">
        <x:v>Révisable</x:v>
      </x:c>
      <x:c r="M25" s="33" t="str">
        <x:v>(91) Essonne</x:v>
      </x:c>
      <x:c r="N25" s="33" t="str">
        <x:v>Oui</x:v>
      </x:c>
      <x:c r="O25" s="33" t="str">
        <x:v>data.gouv.fr_aife</x:v>
      </x:c>
      <x:c r="P25" s="33" t="str">
        <x:v>20182018F1911700</x:v>
      </x:c>
    </x:row>
    <x:row r="26">
      <x:c r="A26" s="33" t="str">
        <x:v>2018100013344300</x:v>
      </x:c>
      <x:c r="B26" s="33" t="str">
        <x:v>MINARM / SGA / SID / ESID Bordeaux - Etablissement du service d'infrastructure de la défense de Bordeaux - ESID Bordeaux</x:v>
      </x:c>
      <x:c r="C26" s="33" t="str">
        <x:v>VEOLIA DEMANTELEMENT SOLUTIONS FRANCE</x:v>
      </x:c>
      <x:c r="D26" s="33" t="str">
        <x:v>Désamiantage et déconstruction du bâtiment XY1 sur la BA 118</x:v>
      </x:c>
      <x:c r="E26" s="33" t="str">
        <x:v>Travaux de désamiantage.</x:v>
      </x:c>
      <x:c r="F26" s="36" t="n">
        <x:v>96406</x:v>
      </x:c>
      <x:c r="G26" s="38" t="n">
        <x:v>43144</x:v>
      </x:c>
      <x:c r="H26" s="38" t="n">
        <x:v>43144</x:v>
      </x:c>
      <x:c r="I26" s="40" t="n">
        <x:v>22</x:v>
      </x:c>
      <x:c r="J26" s="33" t="str">
        <x:v>Marché</x:v>
      </x:c>
      <x:c r="K26" s="33" t="str">
        <x:v>Procédure adaptée</x:v>
      </x:c>
      <x:c r="L26" s="33" t="str">
        <x:v>Révisable</x:v>
      </x:c>
      <x:c r="M26" s="33" t="str">
        <x:v>(40) Landes</x:v>
      </x:c>
      <x:c r="N26" s="33" t="str">
        <x:v>Oui</x:v>
      </x:c>
      <x:c r="O26" s="33" t="str">
        <x:v>data.gouv.fr_aife</x:v>
      </x:c>
      <x:c r="P26" s="33" t="str">
        <x:v>2018100013344300</x:v>
      </x:c>
    </x:row>
    <x:row r="27">
      <x:c r="A27" s="33" t="str">
        <x:v>2018150918485000</x:v>
      </x:c>
      <x:c r="B27" s="33" t="str">
        <x:v>MINARM / SGA / SID / ESID Metz - Etablissement du service d'infrastructure de la défense de Metz - ESID Metz</x:v>
      </x:c>
      <x:c r="C27" s="33" t="str">
        <x:v>COLAS NORD-EST</x:v>
      </x:c>
      <x:c r="D27" s="33" t="str">
        <x:v>PHALSBOURG, SARREBOURG (57) – bâtiments 097, 127 et Rabier 027 - Mise aux normes ERP - COSI : 452056</x:v>
      </x:c>
      <x:c r="E27" s="33" t="str">
        <x:v>Travaux de construction.</x:v>
      </x:c>
      <x:c r="F27" s="36" t="n">
        <x:v>66459</x:v>
      </x:c>
      <x:c r="G27" s="38" t="n">
        <x:v>43147</x:v>
      </x:c>
      <x:c r="H27" s="38" t="n">
        <x:v>43147</x:v>
      </x:c>
      <x:c r="I27" s="40" t="n">
        <x:v>5</x:v>
      </x:c>
      <x:c r="J27" s="33" t="str">
        <x:v>Marché</x:v>
      </x:c>
      <x:c r="K27" s="33" t="str">
        <x:v>Procédure adaptée</x:v>
      </x:c>
      <x:c r="L27" s="33" t="str">
        <x:v>Ferme et actualisable</x:v>
      </x:c>
      <x:c r="M27" s="33" t="str">
        <x:v>(57) Moselle</x:v>
      </x:c>
      <x:c r="N27" s="33" t="str">
        <x:v>Oui</x:v>
      </x:c>
      <x:c r="O27" s="33" t="str">
        <x:v>data.gouv.fr_aife</x:v>
      </x:c>
      <x:c r="P27" s="33" t="str">
        <x:v>2018150918485000</x:v>
      </x:c>
    </x:row>
    <x:row r="28">
      <x:c r="A28" s="33" t="str">
        <x:v>2018100013334700</x:v>
      </x:c>
      <x:c r="B28" s="33" t="str">
        <x:v>MINARM / SGA / SID / ESID Bordeaux - Etablissement du service d'infrastructure de la défense de Bordeaux - ESID Bordeaux</x:v>
      </x:c>
      <x:c r="C28" s="33" t="str">
        <x:v>S.E.E. HARGAIN JEAN-CLAUDE ET FILS</x:v>
      </x:c>
      <x:c r="D28" s="33" t="str">
        <x:v>Biarritz 64 - Hôtel Beauséjour - IGESA - Ravalement des façades</x:v>
      </x:c>
      <x:c r="E28" s="33" t="str">
        <x:v>Travaux de façade .</x:v>
      </x:c>
      <x:c r="F28" s="36" t="n">
        <x:v>49728</x:v>
      </x:c>
      <x:c r="G28" s="38" t="n">
        <x:v>43156</x:v>
      </x:c>
      <x:c r="H28" s="38" t="n">
        <x:v>43156</x:v>
      </x:c>
      <x:c r="I28" s="40" t="n">
        <x:v>3</x:v>
      </x:c>
      <x:c r="J28" s="33" t="str">
        <x:v>Marché</x:v>
      </x:c>
      <x:c r="K28" s="33" t="str">
        <x:v>Procédure adaptée</x:v>
      </x:c>
      <x:c r="L28" s="33" t="str">
        <x:v>Révisable</x:v>
      </x:c>
      <x:c r="M28" s="33" t="str">
        <x:v>(64) Pyrénées-Atlantiques</x:v>
      </x:c>
      <x:c r="N28" s="33" t="str">
        <x:v>Oui</x:v>
      </x:c>
      <x:c r="O28" s="33" t="str">
        <x:v>data.gouv.fr_aife</x:v>
      </x:c>
      <x:c r="P28" s="33" t="str">
        <x:v>2018100013334700</x:v>
      </x:c>
    </x:row>
    <x:row r="29">
      <x:c r="A29" s="33" t="str">
        <x:v>20182019S2019800</x:v>
      </x:c>
      <x:c r="B29" s="33" t="str">
        <x:v>MINARM / ESTM / EPA / Ecole Polytechnique - Ecole Polytechnique</x:v>
      </x:c>
      <x:c r="C29" s="33" t="str">
        <x:v>RUANO</x:v>
      </x:c>
      <x:c r="D29" s="33" t="str">
        <x:v>Entretien complet des portes sectionnelles, des portes et portails automatiques, des rideaux métalliques, des portes piétonnes et des barrières levantes de l'Ecole polytechnique</x:v>
      </x:c>
      <x:c r="E29" s="33" t="str">
        <x:v>Portails.</x:v>
      </x:c>
      <x:c r="F29" s="36" t="n">
        <x:v>108750</x:v>
      </x:c>
      <x:c r="G29" s="38" t="n">
        <x:v>43174</x:v>
      </x:c>
      <x:c r="H29" s="38" t="n">
        <x:v>43174</x:v>
      </x:c>
      <x:c r="I29" s="40" t="n">
        <x:v>36</x:v>
      </x:c>
      <x:c r="J29" s="33" t="str">
        <x:v>Marché</x:v>
      </x:c>
      <x:c r="K29" s="33" t="str">
        <x:v>Procédure adaptée</x:v>
      </x:c>
      <x:c r="L29" s="33" t="str">
        <x:v>Révisable</x:v>
      </x:c>
      <x:c r="M29" s="33" t="str">
        <x:v>(91) Essonne</x:v>
      </x:c>
      <x:c r="N29" s="33" t="str">
        <x:v>Oui</x:v>
      </x:c>
      <x:c r="O29" s="33" t="str">
        <x:v>data.gouv.fr_aife</x:v>
      </x:c>
      <x:c r="P29" s="33" t="str">
        <x:v>20182019S2019800</x:v>
      </x:c>
    </x:row>
    <x:row r="30">
      <x:c r="A30" s="33" t="str">
        <x:v>20182018F1911400</x:v>
      </x:c>
      <x:c r="B30" s="33" t="str">
        <x:v>MINARM / ESTM / EPA / Ecole Polytechnique - Ecole Polytechnique</x:v>
      </x:c>
      <x:c r="C30" s="33" t="str">
        <x:v>COUGNAUD CONSTRUCTION</x:v>
      </x:c>
      <x:c r="D30" s="33" t="str">
        <x:v>ACHAT DE MODULES / PREFABRIQUES COMPLEMENTAIRES A USAGE DE BUREAUX POUR L'HEBERGEMENT DU PROGRAMME X-ENTREPREUNARIAT</x:v>
      </x:c>
      <x:c r="E30" s="33" t="str">
        <x:v>Bâtiments modulaires préfabriqués.</x:v>
      </x:c>
      <x:c r="F30" s="36" t="n">
        <x:v>5281401</x:v>
      </x:c>
      <x:c r="G30" s="38" t="n">
        <x:v>43178</x:v>
      </x:c>
      <x:c r="H30" s="38" t="n">
        <x:v>43178</x:v>
      </x:c>
      <x:c r="I30" s="40" t="n">
        <x:v>12</x:v>
      </x:c>
      <x:c r="J30" s="33" t="str">
        <x:v>Marché</x:v>
      </x:c>
      <x:c r="K30" s="33" t="str"/>
      <x:c r="L30" s="33" t="str">
        <x:v>Ferme et actualisable</x:v>
      </x:c>
      <x:c r="M30" s="33" t="str">
        <x:v>(91) Essonne</x:v>
      </x:c>
      <x:c r="N30" s="33" t="str">
        <x:v>Oui</x:v>
      </x:c>
      <x:c r="O30" s="33" t="str">
        <x:v>data.gouv.fr_aife</x:v>
      </x:c>
      <x:c r="P30" s="33" t="str">
        <x:v>20182018F1911400</x:v>
      </x:c>
    </x:row>
    <x:row r="31">
      <x:c r="A31" s="33" t="str">
        <x:v>20182019S2015800</x:v>
      </x:c>
      <x:c r="B31" s="33" t="str">
        <x:v>MINARM / ESTM / EPA / Ecole Polytechnique - Ecole Polytechnique</x:v>
      </x:c>
      <x:c r="C31" s="33" t="str">
        <x:v>CRIT</x:v>
      </x:c>
      <x:c r="D31" s="33" t="str">
        <x:v>Prestations d'intérim pour les services de l'Ecole polytechnique</x:v>
      </x:c>
      <x:c r="E31" s="33" t="str">
        <x:v>Service de personnel intérimaire pour les particuliers.</x:v>
      </x:c>
      <x:c r="F31" s="36" t="n">
        <x:v>100000</x:v>
      </x:c>
      <x:c r="G31" s="38" t="n">
        <x:v>43178</x:v>
      </x:c>
      <x:c r="H31" s="38" t="n">
        <x:v>43178</x:v>
      </x:c>
      <x:c r="I31" s="40" t="n">
        <x:v>36</x:v>
      </x:c>
      <x:c r="J31" s="33" t="str">
        <x:v>Marché</x:v>
      </x:c>
      <x:c r="K31" s="33" t="str">
        <x:v>Appel d'offres ouvert</x:v>
      </x:c>
      <x:c r="L31" s="33" t="str">
        <x:v>Révisable</x:v>
      </x:c>
      <x:c r="M31" s="33" t="str">
        <x:v>(91) Essonne</x:v>
      </x:c>
      <x:c r="N31" s="33" t="str">
        <x:v>Oui</x:v>
      </x:c>
      <x:c r="O31" s="33" t="str">
        <x:v>data.gouv.fr_aife</x:v>
      </x:c>
      <x:c r="P31" s="33" t="str">
        <x:v>20182019S2015800</x:v>
      </x:c>
    </x:row>
    <x:row r="32">
      <x:c r="A32" s="33" t="str">
        <x:v>2018130013889600</x:v>
      </x:c>
      <x:c r="B32" s="33" t="str">
        <x:v>MINARM / SSA / DAPSA - Direction des Approvisionnements en produits de santé des armées</x:v>
      </x:c>
      <x:c r="C32" s="33" t="str">
        <x:v>BIOSYNEX</x:v>
      </x:c>
      <x:c r="D32" s="33" t="str">
        <x:v>Fourniture de réactifs de bactériologie - BIOSYNEX (BIOSYNEX suite AO) (RESAH / BACTE 2018) (lots 6 et 7)</x:v>
      </x:c>
      <x:c r="E32" s="33" t="str">
        <x:v>Réactifs de laboratoire.</x:v>
      </x:c>
      <x:c r="F32" s="36" t="n">
        <x:v>7000</x:v>
      </x:c>
      <x:c r="G32" s="38" t="n">
        <x:v>43179</x:v>
      </x:c>
      <x:c r="H32" s="38" t="n">
        <x:v>43179</x:v>
      </x:c>
      <x:c r="I32" s="40" t="n">
        <x:v>37</x:v>
      </x:c>
      <x:c r="J32" s="33" t="str">
        <x:v>Accord-cadre</x:v>
      </x:c>
      <x:c r="K32" s="33" t="str">
        <x:v>Appel d'offres ouvert</x:v>
      </x:c>
      <x:c r="L32" s="33" t="str">
        <x:v>Révisable</x:v>
      </x:c>
      <x:c r="M32" s="33" t="str">
        <x:v>(92) Hauts-de-Seine</x:v>
      </x:c>
      <x:c r="N32" s="33" t="str">
        <x:v>Oui</x:v>
      </x:c>
      <x:c r="O32" s="33" t="str">
        <x:v>data.gouv.fr_aife</x:v>
      </x:c>
      <x:c r="P32" s="33" t="str">
        <x:v>2018130013889600</x:v>
      </x:c>
    </x:row>
    <x:row r="33">
      <x:c r="A33" s="33" t="str">
        <x:v>20182019S2016000</x:v>
      </x:c>
      <x:c r="B33" s="33" t="str">
        <x:v>MINARM / ESTM / EPA / Ecole Polytechnique - Ecole Polytechnique</x:v>
      </x:c>
      <x:c r="C33" s="33" t="str">
        <x:v>BARRERO TRAITEUR</x:v>
      </x:c>
      <x:c r="D33" s="33" t="str">
        <x:v>PRESTATIONS DE SERVICE TRAITEUR POUR L'EXECUTIVE MASTER DE L'ECOLE POLYTECHNIQUE</x:v>
      </x:c>
      <x:c r="E33" s="33" t="str">
        <x:v>Services traiteur.</x:v>
      </x:c>
      <x:c r="F33" s="36" t="n">
        <x:v>55000</x:v>
      </x:c>
      <x:c r="G33" s="38" t="n">
        <x:v>43185</x:v>
      </x:c>
      <x:c r="H33" s="38" t="n">
        <x:v>43185</x:v>
      </x:c>
      <x:c r="I33" s="40" t="n">
        <x:v>36</x:v>
      </x:c>
      <x:c r="J33" s="33" t="str">
        <x:v>Marché</x:v>
      </x:c>
      <x:c r="K33" s="33" t="str">
        <x:v>Procédure adaptée</x:v>
      </x:c>
      <x:c r="L33" s="33" t="str">
        <x:v>Révisable</x:v>
      </x:c>
      <x:c r="M33" s="33" t="str">
        <x:v>(91) Essonne</x:v>
      </x:c>
      <x:c r="N33" s="33" t="str">
        <x:v>Oui</x:v>
      </x:c>
      <x:c r="O33" s="33" t="str">
        <x:v>data.gouv.fr_aife</x:v>
      </x:c>
      <x:c r="P33" s="33" t="str">
        <x:v>20182019S2016000</x:v>
      </x:c>
    </x:row>
    <x:row r="34">
      <x:c r="A34" s="33" t="str">
        <x:v>2018150867171900</x:v>
      </x:c>
      <x:c r="B34" s="33" t="str">
        <x:v>MINARM / SGA / SID / ESID Rennes - Etablissement du service d'infrastructure de la défense de Rennes - ESID Rennes</x:v>
      </x:c>
      <x:c r="C34" s="33" t="str">
        <x:v>HYDROGEOTECHNIQUE NO</x:v>
      </x:c>
      <x:c r="D34" s="33" t="str">
        <x:v>- Port militaire de Cherbourg (50) - Implantation d'un GE de secours et diagnostic des bajoyers d'entrée de forme - Mission d'investigations et d'études géotechniques G2 AVP/PRO - G4 et G5</x:v>
      </x:c>
      <x:c r="E34" s="33" t="str">
        <x:v>Services d'ingénierie.</x:v>
      </x:c>
      <x:c r="F34" s="36" t="n">
        <x:v>88997</x:v>
      </x:c>
      <x:c r="G34" s="38" t="n">
        <x:v>43196</x:v>
      </x:c>
      <x:c r="H34" s="38" t="n">
        <x:v>43196</x:v>
      </x:c>
      <x:c r="I34" s="40" t="n">
        <x:v>10</x:v>
      </x:c>
      <x:c r="J34" s="33" t="str"/>
      <x:c r="K34" s="33" t="str"/>
      <x:c r="L34" s="33" t="str"/>
      <x:c r="M34" s="33" t="str">
        <x:v>(35) Ille-et-Vilaine</x:v>
      </x:c>
      <x:c r="N34" s="33" t="str">
        <x:v>Oui</x:v>
      </x:c>
      <x:c r="O34" s="33" t="str">
        <x:v>data.gouv.fr_aife</x:v>
      </x:c>
      <x:c r="P34" s="33" t="str">
        <x:v>2018150867171900</x:v>
      </x:c>
    </x:row>
    <x:row r="35">
      <x:c r="A35" s="33" t="str">
        <x:v>2018150870651100</x:v>
      </x:c>
      <x:c r="B35" s="33" t="str">
        <x:v>MINARM / SGA / SID / ESID Metz - Etablissement du service d'infrastructure de la défense de Metz - ESID Metz</x:v>
      </x:c>
      <x:c r="C35" s="33" t="str">
        <x:v>SAS CUVELLIER</x:v>
      </x:c>
      <x:c r="D35" s="33" t="str">
        <x:v>Projet no 17/USID03/745 à 747 - SISSONNE (02) - EX EACAT - Bâtiment 0008 - Création de sanitaires pour la FORAD. Projet no 17/USID03/745 - Lot no 1 : Gros oeuvre étendu. Projet no 17/USID03/746 - Lot no 2 : Electricité. Projet no 17/USID03/747 - Lot no ...</x:v>
      </x:c>
      <x:c r="E35" s="33" t="str">
        <x:v>Travaux d'installations électriques.</x:v>
      </x:c>
      <x:c r="F35" s="36" t="n">
        <x:v>19598</x:v>
      </x:c>
      <x:c r="G35" s="38" t="n">
        <x:v>43206</x:v>
      </x:c>
      <x:c r="H35" s="38" t="n">
        <x:v>43206</x:v>
      </x:c>
      <x:c r="I35" s="40" t="n">
        <x:v>5</x:v>
      </x:c>
      <x:c r="J35" s="33" t="str"/>
      <x:c r="K35" s="33" t="str"/>
      <x:c r="L35" s="33" t="str"/>
      <x:c r="M35" s="33" t="str">
        <x:v>(57) Moselle</x:v>
      </x:c>
      <x:c r="N35" s="33" t="str">
        <x:v>Oui</x:v>
      </x:c>
      <x:c r="O35" s="33" t="str">
        <x:v>data.gouv.fr_aife</x:v>
      </x:c>
      <x:c r="P35" s="33" t="str">
        <x:v>2018150870651100</x:v>
      </x:c>
    </x:row>
    <x:row r="36">
      <x:c r="A36" s="33" t="str">
        <x:v>2018150870301400</x:v>
      </x:c>
      <x:c r="B36" s="33" t="str">
        <x:v>MINARM / SGA / SID / ESID Metz - Etablissement du service d'infrastructure de la défense de Metz - ESID Metz</x:v>
      </x:c>
      <x:c r="C36" s="33" t="str">
        <x:v>SILVEX CONSTRUCTION</x:v>
      </x:c>
      <x:c r="D36" s="33" t="str">
        <x:v>Projet no 17/USID03/745 à 747 - SISSONNE (02) - EX EACAT - Bâtiment 0008 - Création de sanitaires pour la FORAD. Projet no 17/USID03/745 - Lot no 1 : Gros oeuvre étendu. Projet no 17/USID03/746 - Lot no 2 : Electricité. Projet no 17/USID03/747 - Lot no ...</x:v>
      </x:c>
      <x:c r="E36" s="33" t="str">
        <x:v>Travaux de gros œuvre.</x:v>
      </x:c>
      <x:c r="F36" s="36" t="n">
        <x:v>94000</x:v>
      </x:c>
      <x:c r="G36" s="38" t="n">
        <x:v>43206</x:v>
      </x:c>
      <x:c r="H36" s="38" t="n">
        <x:v>43206</x:v>
      </x:c>
      <x:c r="I36" s="40" t="n">
        <x:v>5</x:v>
      </x:c>
      <x:c r="J36" s="33" t="str"/>
      <x:c r="K36" s="33" t="str"/>
      <x:c r="L36" s="33" t="str"/>
      <x:c r="M36" s="33" t="str">
        <x:v>(57) Moselle</x:v>
      </x:c>
      <x:c r="N36" s="33" t="str">
        <x:v>Oui</x:v>
      </x:c>
      <x:c r="O36" s="33" t="str">
        <x:v>data.gouv.fr_aife</x:v>
      </x:c>
      <x:c r="P36" s="33" t="str">
        <x:v>2018150870301400</x:v>
      </x:c>
    </x:row>
    <x:row r="37">
      <x:c r="A37" s="33" t="str">
        <x:v>2018130014389300</x:v>
      </x:c>
      <x:c r="B37" s="33" t="str">
        <x:v>MINARM / SSA / DAPSA - Direction des Approvisionnements en produits de santé des armées</x:v>
      </x:c>
      <x:c r="C37" s="33" t="str">
        <x:v>3M FRANCE</x:v>
      </x:c>
      <x:c r="D37" s="33" t="str">
        <x:v>Fourniture de dispositifs médicaux stériles (DMS) non substituables/en monopole 1 (RESAH MSMNM 2018-013)</x:v>
      </x:c>
      <x:c r="E37" s="33" t="str">
        <x:v>Défibrillateur.</x:v>
      </x:c>
      <x:c r="F37" s="36" t="n">
        <x:v>263099</x:v>
      </x:c>
      <x:c r="G37" s="38" t="n">
        <x:v>43207</x:v>
      </x:c>
      <x:c r="H37" s="38" t="n">
        <x:v>43207</x:v>
      </x:c>
      <x:c r="I37" s="40" t="n">
        <x:v>42</x:v>
      </x:c>
      <x:c r="J37" s="33" t="str">
        <x:v>Accord-cadre</x:v>
      </x:c>
      <x:c r="K37" s="33" t="str"/>
      <x:c r="L37" s="33" t="str">
        <x:v>Révisable</x:v>
      </x:c>
      <x:c r="M37" s="33" t="str">
        <x:v>(94) Val-de-Marne</x:v>
      </x:c>
      <x:c r="N37" s="33" t="str">
        <x:v>Oui</x:v>
      </x:c>
      <x:c r="O37" s="33" t="str">
        <x:v>data.gouv.fr_aife</x:v>
      </x:c>
      <x:c r="P37" s="33" t="str">
        <x:v>2018130014389300</x:v>
      </x:c>
    </x:row>
    <x:row r="38">
      <x:c r="A38" s="33" t="str">
        <x:v>2018130014347700</x:v>
      </x:c>
      <x:c r="B38" s="33" t="str">
        <x:v>MINARM / SSA / DAPSA - Direction des Approvisionnements en produits de santé des armées</x:v>
      </x:c>
      <x:c r="C38" s="33" t="str">
        <x:v>CARESTIA SAS</x:v>
      </x:c>
      <x:c r="D38" s="33" t="str">
        <x:v>Fourniture d'ateliers pour l'entretien et la maintenance RESAH 2019-012 lot 4</x:v>
      </x:c>
      <x:c r="E38" s="33" t="str">
        <x:v>Menuiserie pour la construction.</x:v>
      </x:c>
      <x:c r="F38" s="36" t="n">
        <x:v>119637</x:v>
      </x:c>
      <x:c r="G38" s="38" t="n">
        <x:v>43209</x:v>
      </x:c>
      <x:c r="H38" s="38" t="n">
        <x:v>43209</x:v>
      </x:c>
      <x:c r="I38" s="40" t="n">
        <x:v>48</x:v>
      </x:c>
      <x:c r="J38" s="33" t="str">
        <x:v>Accord-cadre</x:v>
      </x:c>
      <x:c r="K38" s="33" t="str"/>
      <x:c r="L38" s="33" t="str">
        <x:v>Révisable</x:v>
      </x:c>
      <x:c r="M38" s="33" t="str">
        <x:v>(69) Rhône</x:v>
      </x:c>
      <x:c r="N38" s="33" t="str">
        <x:v>Oui</x:v>
      </x:c>
      <x:c r="O38" s="33" t="str">
        <x:v>data.gouv.fr_aife</x:v>
      </x:c>
      <x:c r="P38" s="33" t="str">
        <x:v>2018130014347700</x:v>
      </x:c>
    </x:row>
    <x:row r="39">
      <x:c r="A39" s="33" t="str">
        <x:v>20182020F1216000</x:v>
      </x:c>
      <x:c r="B39" s="33" t="str">
        <x:v>MINARM / SSA / DAPSA - Direction des Approvisionnements en produits de santé des armées</x:v>
      </x:c>
      <x:c r="C39" s="33" t="str">
        <x:v>GEISTLICH</x:v>
      </x:c>
      <x:c r="D39" s="33" t="str">
        <x:v>Fourniture de dispositifs médicaux d’ ORL, Stomatologie, Implantologie et Neurochirurgie.</x:v>
      </x:c>
      <x:c r="E39" s="33" t="str">
        <x:v>Matériels médicaux, pharmaceutiques et produits de soins personnnels.</x:v>
      </x:c>
      <x:c r="F39" s="36" t="n">
        <x:v>4543221</x:v>
      </x:c>
      <x:c r="G39" s="38" t="n">
        <x:v>43220</x:v>
      </x:c>
      <x:c r="H39" s="38" t="n">
        <x:v>43220</x:v>
      </x:c>
      <x:c r="I39" s="40" t="n">
        <x:v>48</x:v>
      </x:c>
      <x:c r="J39" s="33" t="str">
        <x:v>Accord-cadre</x:v>
      </x:c>
      <x:c r="K39" s="33" t="str">
        <x:v>Appel d'offres ouvert</x:v>
      </x:c>
      <x:c r="L39" s="33" t="str"/>
      <x:c r="M39" s="33" t="str">
        <x:v>(45) Loiret</x:v>
      </x:c>
      <x:c r="N39" s="33" t="str">
        <x:v>Oui</x:v>
      </x:c>
      <x:c r="O39" s="33" t="str">
        <x:v>data.gouv.fr_aife</x:v>
      </x:c>
      <x:c r="P39" s="33" t="str">
        <x:v>20182020F1216000</x:v>
      </x:c>
    </x:row>
    <x:row r="40">
      <x:c r="A40" s="33" t="str">
        <x:v>20182020F1215600</x:v>
      </x:c>
      <x:c r="B40" s="33" t="str">
        <x:v>MINARM / SSA / DAPSA - Direction des Approvisionnements en produits de santé des armées</x:v>
      </x:c>
      <x:c r="C40" s="33" t="str">
        <x:v>COOK</x:v>
      </x:c>
      <x:c r="D40" s="33" t="str">
        <x:v>Fourniture de dispositifs médicaux d’ ORL, Stomatologie, Implantologie et Neurochirurgie.</x:v>
      </x:c>
      <x:c r="E40" s="33" t="str">
        <x:v>Matériels médicaux, pharmaceutiques et produits de soins personnnels.</x:v>
      </x:c>
      <x:c r="F40" s="36" t="n">
        <x:v>4543221</x:v>
      </x:c>
      <x:c r="G40" s="38" t="n">
        <x:v>43221</x:v>
      </x:c>
      <x:c r="H40" s="38" t="n">
        <x:v>43221</x:v>
      </x:c>
      <x:c r="I40" s="40" t="n">
        <x:v>48</x:v>
      </x:c>
      <x:c r="J40" s="33" t="str">
        <x:v>Accord-cadre</x:v>
      </x:c>
      <x:c r="K40" s="33" t="str">
        <x:v>Appel d'offres ouvert</x:v>
      </x:c>
      <x:c r="L40" s="33" t="str"/>
      <x:c r="M40" s="33" t="str">
        <x:v>(45) Loiret</x:v>
      </x:c>
      <x:c r="N40" s="33" t="str">
        <x:v>Oui</x:v>
      </x:c>
      <x:c r="O40" s="33" t="str">
        <x:v>data.gouv.fr_aife</x:v>
      </x:c>
      <x:c r="P40" s="33" t="str">
        <x:v>20182020F1215600</x:v>
      </x:c>
    </x:row>
    <x:row r="41">
      <x:c r="A41" s="33" t="str">
        <x:v>20182020F1215700</x:v>
      </x:c>
      <x:c r="B41" s="33" t="str">
        <x:v>MINARM / SSA / DAPSA - Direction des Approvisionnements en produits de santé des armées</x:v>
      </x:c>
      <x:c r="C41" s="33" t="str">
        <x:v>CORMEDICA</x:v>
      </x:c>
      <x:c r="D41" s="33" t="str">
        <x:v>Fourniture de dispositifs médicaux d’ ORL, Stomatologie, Implantologie et Neurochirurgie.</x:v>
      </x:c>
      <x:c r="E41" s="33" t="str">
        <x:v>Matériels médicaux, pharmaceutiques et produits de soins personnnels.</x:v>
      </x:c>
      <x:c r="F41" s="36" t="n">
        <x:v>4543221</x:v>
      </x:c>
      <x:c r="G41" s="38" t="n">
        <x:v>43222</x:v>
      </x:c>
      <x:c r="H41" s="38" t="n">
        <x:v>43222</x:v>
      </x:c>
      <x:c r="I41" s="40" t="n">
        <x:v>48</x:v>
      </x:c>
      <x:c r="J41" s="33" t="str">
        <x:v>Accord-cadre</x:v>
      </x:c>
      <x:c r="K41" s="33" t="str">
        <x:v>Appel d'offres ouvert</x:v>
      </x:c>
      <x:c r="L41" s="33" t="str"/>
      <x:c r="M41" s="33" t="str">
        <x:v>(45) Loiret</x:v>
      </x:c>
      <x:c r="N41" s="33" t="str">
        <x:v>Oui</x:v>
      </x:c>
      <x:c r="O41" s="33" t="str">
        <x:v>data.gouv.fr_aife</x:v>
      </x:c>
      <x:c r="P41" s="33" t="str">
        <x:v>20182020F1215700</x:v>
      </x:c>
    </x:row>
    <x:row r="42">
      <x:c r="A42" s="33" t="str">
        <x:v>20182020F1216300</x:v>
      </x:c>
      <x:c r="B42" s="33" t="str">
        <x:v>MINARM / SSA / DAPSA - Direction des Approvisionnements en produits de santé des armées</x:v>
      </x:c>
      <x:c r="C42" s="33" t="str">
        <x:v>JOHNSON &amp; JOHNSON MEDICAL SAS</x:v>
      </x:c>
      <x:c r="D42" s="33" t="str">
        <x:v>Fourniture de dispositifs médicaux d’ ORL, Stomatologie, Implantologie et Neurochirurgie.</x:v>
      </x:c>
      <x:c r="E42" s="33" t="str">
        <x:v>Matériels médicaux, pharmaceutiques et produits de soins personnnels.</x:v>
      </x:c>
      <x:c r="F42" s="36" t="n">
        <x:v>4543221</x:v>
      </x:c>
      <x:c r="G42" s="38" t="n">
        <x:v>43222</x:v>
      </x:c>
      <x:c r="H42" s="38" t="n">
        <x:v>43222</x:v>
      </x:c>
      <x:c r="I42" s="40" t="n">
        <x:v>48</x:v>
      </x:c>
      <x:c r="J42" s="33" t="str">
        <x:v>Accord-cadre</x:v>
      </x:c>
      <x:c r="K42" s="33" t="str">
        <x:v>Appel d'offres ouvert</x:v>
      </x:c>
      <x:c r="L42" s="33" t="str"/>
      <x:c r="M42" s="33" t="str">
        <x:v>(45) Loiret</x:v>
      </x:c>
      <x:c r="N42" s="33" t="str">
        <x:v>Oui</x:v>
      </x:c>
      <x:c r="O42" s="33" t="str">
        <x:v>data.gouv.fr_aife</x:v>
      </x:c>
      <x:c r="P42" s="33" t="str">
        <x:v>20182020F1216300</x:v>
      </x:c>
    </x:row>
    <x:row r="43">
      <x:c r="A43" s="33" t="str">
        <x:v>20182020F1217100</x:v>
      </x:c>
      <x:c r="B43" s="33" t="str">
        <x:v>MINARM / SSA / DAPSA - Direction des Approvisionnements en produits de santé des armées</x:v>
      </x:c>
      <x:c r="C43" s="33" t="str">
        <x:v>OSTEOMED FRANCE</x:v>
      </x:c>
      <x:c r="D43" s="33" t="str">
        <x:v>Fourniture de dispositifs médicaux d’ ORL, Stomatologie, Implantologie et Neurochirurgie.</x:v>
      </x:c>
      <x:c r="E43" s="33" t="str">
        <x:v>Matériels médicaux, pharmaceutiques et produits de soins personnnels.</x:v>
      </x:c>
      <x:c r="F43" s="36" t="n">
        <x:v>4543221</x:v>
      </x:c>
      <x:c r="G43" s="38" t="n">
        <x:v>43222</x:v>
      </x:c>
      <x:c r="H43" s="38" t="n">
        <x:v>43222</x:v>
      </x:c>
      <x:c r="I43" s="40" t="n">
        <x:v>48</x:v>
      </x:c>
      <x:c r="J43" s="33" t="str">
        <x:v>Accord-cadre</x:v>
      </x:c>
      <x:c r="K43" s="33" t="str">
        <x:v>Appel d'offres ouvert</x:v>
      </x:c>
      <x:c r="L43" s="33" t="str"/>
      <x:c r="M43" s="33" t="str">
        <x:v>(45) Loiret</x:v>
      </x:c>
      <x:c r="N43" s="33" t="str">
        <x:v>Oui</x:v>
      </x:c>
      <x:c r="O43" s="33" t="str">
        <x:v>data.gouv.fr_aife</x:v>
      </x:c>
      <x:c r="P43" s="33" t="str">
        <x:v>20182020F1217100</x:v>
      </x:c>
    </x:row>
    <x:row r="44">
      <x:c r="A44" s="33" t="str">
        <x:v>20182020F1217300</x:v>
      </x:c>
      <x:c r="B44" s="33" t="str">
        <x:v>MINARM / SSA / DAPSA - Direction des Approvisionnements en produits de santé des armées</x:v>
      </x:c>
      <x:c r="C44" s="33" t="str">
        <x:v>PRODITION</x:v>
      </x:c>
      <x:c r="D44" s="33" t="str">
        <x:v>Fourniture de dispositifs médicaux d’ ORL, Stomatologie, Implantologie et Neurochirurgie.</x:v>
      </x:c>
      <x:c r="E44" s="33" t="str">
        <x:v>Matériels médicaux, pharmaceutiques et produits de soins personnnels.</x:v>
      </x:c>
      <x:c r="F44" s="36" t="n">
        <x:v>4543221</x:v>
      </x:c>
      <x:c r="G44" s="38" t="n">
        <x:v>43222</x:v>
      </x:c>
      <x:c r="H44" s="38" t="n">
        <x:v>43222</x:v>
      </x:c>
      <x:c r="I44" s="40" t="n">
        <x:v>48</x:v>
      </x:c>
      <x:c r="J44" s="33" t="str">
        <x:v>Accord-cadre</x:v>
      </x:c>
      <x:c r="K44" s="33" t="str">
        <x:v>Appel d'offres ouvert</x:v>
      </x:c>
      <x:c r="L44" s="33" t="str"/>
      <x:c r="M44" s="33" t="str">
        <x:v>(45) Loiret</x:v>
      </x:c>
      <x:c r="N44" s="33" t="str">
        <x:v>Oui</x:v>
      </x:c>
      <x:c r="O44" s="33" t="str">
        <x:v>data.gouv.fr_aife</x:v>
      </x:c>
      <x:c r="P44" s="33" t="str">
        <x:v>20182020F1217300</x:v>
      </x:c>
    </x:row>
    <x:row r="45">
      <x:c r="A45" s="33" t="str">
        <x:v>20182020F1217900</x:v>
      </x:c>
      <x:c r="B45" s="33" t="str">
        <x:v>MINARM / SSA / DAPSA - Direction des Approvisionnements en produits de santé des armées</x:v>
      </x:c>
      <x:c r="C45" s="33" t="str">
        <x:v>SUDIMPLANT</x:v>
      </x:c>
      <x:c r="D45" s="33" t="str">
        <x:v>Fourniture de dispositifs médicaux d’ ORL, Stomatologie, Implantologie et Neurochirurgie.</x:v>
      </x:c>
      <x:c r="E45" s="33" t="str">
        <x:v>Matériels médicaux, pharmaceutiques et produits de soins personnnels.</x:v>
      </x:c>
      <x:c r="F45" s="36" t="n">
        <x:v>4543221</x:v>
      </x:c>
      <x:c r="G45" s="38" t="n">
        <x:v>43222</x:v>
      </x:c>
      <x:c r="H45" s="38" t="n">
        <x:v>43222</x:v>
      </x:c>
      <x:c r="I45" s="40" t="n">
        <x:v>48</x:v>
      </x:c>
      <x:c r="J45" s="33" t="str">
        <x:v>Accord-cadre</x:v>
      </x:c>
      <x:c r="K45" s="33" t="str">
        <x:v>Appel d'offres ouvert</x:v>
      </x:c>
      <x:c r="L45" s="33" t="str"/>
      <x:c r="M45" s="33" t="str">
        <x:v>(45) Loiret</x:v>
      </x:c>
      <x:c r="N45" s="33" t="str">
        <x:v>Oui</x:v>
      </x:c>
      <x:c r="O45" s="33" t="str">
        <x:v>data.gouv.fr_aife</x:v>
      </x:c>
      <x:c r="P45" s="33" t="str">
        <x:v>20182020F1217900</x:v>
      </x:c>
    </x:row>
    <x:row r="46">
      <x:c r="A46" s="33" t="str">
        <x:v>20182020F1218300</x:v>
      </x:c>
      <x:c r="B46" s="33" t="str">
        <x:v>MINARM / SSA / DAPSA - Direction des Approvisionnements en produits de santé des armées</x:v>
      </x:c>
      <x:c r="C46" s="33" t="str">
        <x:v>VBM</x:v>
      </x:c>
      <x:c r="D46" s="33" t="str">
        <x:v>Fourniture de dispositifs médicaux d’ ORL, Stomatologie, Implantologie et Neurochirurgie.</x:v>
      </x:c>
      <x:c r="E46" s="33" t="str">
        <x:v>Matériels médicaux, pharmaceutiques et produits de soins personnnels.</x:v>
      </x:c>
      <x:c r="F46" s="36" t="n">
        <x:v>4543221</x:v>
      </x:c>
      <x:c r="G46" s="38" t="n">
        <x:v>43222</x:v>
      </x:c>
      <x:c r="H46" s="38" t="n">
        <x:v>43222</x:v>
      </x:c>
      <x:c r="I46" s="40" t="n">
        <x:v>48</x:v>
      </x:c>
      <x:c r="J46" s="33" t="str">
        <x:v>Accord-cadre</x:v>
      </x:c>
      <x:c r="K46" s="33" t="str">
        <x:v>Appel d'offres ouvert</x:v>
      </x:c>
      <x:c r="L46" s="33" t="str"/>
      <x:c r="M46" s="33" t="str">
        <x:v>(45) Loiret</x:v>
      </x:c>
      <x:c r="N46" s="33" t="str">
        <x:v>Oui</x:v>
      </x:c>
      <x:c r="O46" s="33" t="str">
        <x:v>data.gouv.fr_aife</x:v>
      </x:c>
      <x:c r="P46" s="33" t="str">
        <x:v>20182020F1218300</x:v>
      </x:c>
    </x:row>
    <x:row r="47">
      <x:c r="A47" s="33" t="str">
        <x:v>20182020F1214500</x:v>
      </x:c>
      <x:c r="B47" s="33" t="str">
        <x:v>MINARM / SSA / DAPSA - Direction des Approvisionnements en produits de santé des armées</x:v>
      </x:c>
      <x:c r="C47" s="33" t="str">
        <x:v>ABBOTT MEDICAL FRANCE SAS</x:v>
      </x:c>
      <x:c r="D47" s="33" t="str">
        <x:v>Fourniture de dispositifs médicaux d’ ORL, Stomatologie, Implantologie et Neurochirurgie.</x:v>
      </x:c>
      <x:c r="E47" s="33" t="str">
        <x:v>Matériels médicaux, pharmaceutiques et produits de soins personnnels.</x:v>
      </x:c>
      <x:c r="F47" s="36" t="n">
        <x:v>4543221</x:v>
      </x:c>
      <x:c r="G47" s="38" t="n">
        <x:v>43222</x:v>
      </x:c>
      <x:c r="H47" s="38" t="n">
        <x:v>43222</x:v>
      </x:c>
      <x:c r="I47" s="40" t="n">
        <x:v>48</x:v>
      </x:c>
      <x:c r="J47" s="33" t="str">
        <x:v>Accord-cadre</x:v>
      </x:c>
      <x:c r="K47" s="33" t="str">
        <x:v>Appel d'offres ouvert</x:v>
      </x:c>
      <x:c r="L47" s="33" t="str"/>
      <x:c r="M47" s="33" t="str">
        <x:v>(45) Loiret</x:v>
      </x:c>
      <x:c r="N47" s="33" t="str">
        <x:v>Oui</x:v>
      </x:c>
      <x:c r="O47" s="33" t="str">
        <x:v>data.gouv.fr_aife</x:v>
      </x:c>
      <x:c r="P47" s="33" t="str">
        <x:v>20182020F1214500</x:v>
      </x:c>
    </x:row>
    <x:row r="48">
      <x:c r="A48" s="33" t="str">
        <x:v>20182020F1215300</x:v>
      </x:c>
      <x:c r="B48" s="33" t="str">
        <x:v>MINARM / SSA / DAPSA - Direction des Approvisionnements en produits de santé des armées</x:v>
      </x:c>
      <x:c r="C48" s="33" t="str">
        <x:v>COLLIN</x:v>
      </x:c>
      <x:c r="D48" s="33" t="str">
        <x:v>Fourniture de dispositifs médicaux d’ ORL, Stomatologie, Implantologie et Neurochirurgie.</x:v>
      </x:c>
      <x:c r="E48" s="33" t="str">
        <x:v>Matériels médicaux, pharmaceutiques et produits de soins personnnels.</x:v>
      </x:c>
      <x:c r="F48" s="36" t="n">
        <x:v>4543221</x:v>
      </x:c>
      <x:c r="G48" s="38" t="n">
        <x:v>43222</x:v>
      </x:c>
      <x:c r="H48" s="38" t="n">
        <x:v>43222</x:v>
      </x:c>
      <x:c r="I48" s="40" t="n">
        <x:v>48</x:v>
      </x:c>
      <x:c r="J48" s="33" t="str">
        <x:v>Accord-cadre</x:v>
      </x:c>
      <x:c r="K48" s="33" t="str">
        <x:v>Appel d'offres ouvert</x:v>
      </x:c>
      <x:c r="L48" s="33" t="str"/>
      <x:c r="M48" s="33" t="str">
        <x:v>(45) Loiret</x:v>
      </x:c>
      <x:c r="N48" s="33" t="str">
        <x:v>Oui</x:v>
      </x:c>
      <x:c r="O48" s="33" t="str">
        <x:v>data.gouv.fr_aife</x:v>
      </x:c>
      <x:c r="P48" s="33" t="str">
        <x:v>20182020F1215300</x:v>
      </x:c>
    </x:row>
    <x:row r="49">
      <x:c r="A49" s="33" t="str">
        <x:v>20182020F1215900</x:v>
      </x:c>
      <x:c r="B49" s="33" t="str">
        <x:v>MINARM / SSA / DAPSA - Direction des Approvisionnements en produits de santé des armées</x:v>
      </x:c>
      <x:c r="C49" s="33" t="str">
        <x:v>EUROTEKNIKA</x:v>
      </x:c>
      <x:c r="D49" s="33" t="str">
        <x:v>Fourniture de dispositifs médicaux d’ ORL, Stomatologie, Implantologie et Neurochirurgie.</x:v>
      </x:c>
      <x:c r="E49" s="33" t="str">
        <x:v>Matériels médicaux, pharmaceutiques et produits de soins personnnels.</x:v>
      </x:c>
      <x:c r="F49" s="36" t="n">
        <x:v>4543221</x:v>
      </x:c>
      <x:c r="G49" s="38" t="n">
        <x:v>43222</x:v>
      </x:c>
      <x:c r="H49" s="38" t="n">
        <x:v>43222</x:v>
      </x:c>
      <x:c r="I49" s="40" t="n">
        <x:v>48</x:v>
      </x:c>
      <x:c r="J49" s="33" t="str">
        <x:v>Accord-cadre</x:v>
      </x:c>
      <x:c r="K49" s="33" t="str">
        <x:v>Appel d'offres ouvert</x:v>
      </x:c>
      <x:c r="L49" s="33" t="str"/>
      <x:c r="M49" s="33" t="str">
        <x:v>(45) Loiret</x:v>
      </x:c>
      <x:c r="N49" s="33" t="str">
        <x:v>Oui</x:v>
      </x:c>
      <x:c r="O49" s="33" t="str">
        <x:v>data.gouv.fr_aife</x:v>
      </x:c>
      <x:c r="P49" s="33" t="str">
        <x:v>20182020F1215900</x:v>
      </x:c>
    </x:row>
    <x:row r="50">
      <x:c r="A50" s="33" t="str">
        <x:v>20182020F1218000</x:v>
      </x:c>
      <x:c r="B50" s="33" t="str">
        <x:v>MINARM / SSA / DAPSA - Direction des Approvisionnements en produits de santé des armées</x:v>
      </x:c>
      <x:c r="C50" s="33" t="str">
        <x:v>TELEFLEX MEDICAL</x:v>
      </x:c>
      <x:c r="D50" s="33" t="str">
        <x:v>Fourniture de dispositifs médicaux d’ ORL, Stomatologie, Implantologie et Neurochirurgie.</x:v>
      </x:c>
      <x:c r="E50" s="33" t="str">
        <x:v>Matériels médicaux, pharmaceutiques et produits de soins personnnels.</x:v>
      </x:c>
      <x:c r="F50" s="36" t="n">
        <x:v>4543221</x:v>
      </x:c>
      <x:c r="G50" s="38" t="n">
        <x:v>43222</x:v>
      </x:c>
      <x:c r="H50" s="38" t="n">
        <x:v>43222</x:v>
      </x:c>
      <x:c r="I50" s="40" t="n">
        <x:v>48</x:v>
      </x:c>
      <x:c r="J50" s="33" t="str">
        <x:v>Accord-cadre</x:v>
      </x:c>
      <x:c r="K50" s="33" t="str">
        <x:v>Appel d'offres ouvert</x:v>
      </x:c>
      <x:c r="L50" s="33" t="str"/>
      <x:c r="M50" s="33" t="str">
        <x:v>(45) Loiret</x:v>
      </x:c>
      <x:c r="N50" s="33" t="str">
        <x:v>Oui</x:v>
      </x:c>
      <x:c r="O50" s="33" t="str">
        <x:v>data.gouv.fr_aife</x:v>
      </x:c>
      <x:c r="P50" s="33" t="str">
        <x:v>20182020F1218000</x:v>
      </x:c>
    </x:row>
    <x:row r="51">
      <x:c r="A51" s="33" t="str">
        <x:v>20182020F1214600</x:v>
      </x:c>
      <x:c r="B51" s="33" t="str">
        <x:v>MINARM / SSA / DAPSA - Direction des Approvisionnements en produits de santé des armées</x:v>
      </x:c>
      <x:c r="C51" s="33" t="str">
        <x:v>AMBU SARL</x:v>
      </x:c>
      <x:c r="D51" s="33" t="str">
        <x:v>Fourniture de dispositifs médicaux d’ ORL, Stomatologie, Implantologie et Neurochirurgie.</x:v>
      </x:c>
      <x:c r="E51" s="33" t="str">
        <x:v>Matériels médicaux, pharmaceutiques et produits de soins personnnels.</x:v>
      </x:c>
      <x:c r="F51" s="36" t="n">
        <x:v>4543221</x:v>
      </x:c>
      <x:c r="G51" s="38" t="n">
        <x:v>43222</x:v>
      </x:c>
      <x:c r="H51" s="38" t="n">
        <x:v>43222</x:v>
      </x:c>
      <x:c r="I51" s="40" t="n">
        <x:v>48</x:v>
      </x:c>
      <x:c r="J51" s="33" t="str">
        <x:v>Accord-cadre</x:v>
      </x:c>
      <x:c r="K51" s="33" t="str">
        <x:v>Appel d'offres ouvert</x:v>
      </x:c>
      <x:c r="L51" s="33" t="str"/>
      <x:c r="M51" s="33" t="str">
        <x:v>(45) Loiret</x:v>
      </x:c>
      <x:c r="N51" s="33" t="str">
        <x:v>Oui</x:v>
      </x:c>
      <x:c r="O51" s="33" t="str">
        <x:v>data.gouv.fr_aife</x:v>
      </x:c>
      <x:c r="P51" s="33" t="str">
        <x:v>20182020F1214600</x:v>
      </x:c>
    </x:row>
    <x:row r="52">
      <x:c r="A52" s="33" t="str">
        <x:v>20182020F1217800</x:v>
      </x:c>
      <x:c r="B52" s="33" t="str">
        <x:v>MINARM / SSA / DAPSA - Direction des Approvisionnements en produits de santé des armées</x:v>
      </x:c>
      <x:c r="C52" s="33" t="str">
        <x:v>STRYKER FRANCE SA</x:v>
      </x:c>
      <x:c r="D52" s="33" t="str">
        <x:v>Fourniture de dispositifs médicaux d’ ORL, Stomatologie, Implantologie et Neurochirurgie.</x:v>
      </x:c>
      <x:c r="E52" s="33" t="str">
        <x:v>Matériels médicaux, pharmaceutiques et produits de soins personnnels.</x:v>
      </x:c>
      <x:c r="F52" s="36" t="n">
        <x:v>4543221</x:v>
      </x:c>
      <x:c r="G52" s="38" t="n">
        <x:v>43222</x:v>
      </x:c>
      <x:c r="H52" s="38" t="n">
        <x:v>43222</x:v>
      </x:c>
      <x:c r="I52" s="40" t="n">
        <x:v>48</x:v>
      </x:c>
      <x:c r="J52" s="33" t="str">
        <x:v>Accord-cadre</x:v>
      </x:c>
      <x:c r="K52" s="33" t="str">
        <x:v>Appel d'offres ouvert</x:v>
      </x:c>
      <x:c r="L52" s="33" t="str"/>
      <x:c r="M52" s="33" t="str">
        <x:v>(45) Loiret</x:v>
      </x:c>
      <x:c r="N52" s="33" t="str">
        <x:v>Oui</x:v>
      </x:c>
      <x:c r="O52" s="33" t="str">
        <x:v>data.gouv.fr_aife</x:v>
      </x:c>
      <x:c r="P52" s="33" t="str">
        <x:v>20182020F1217800</x:v>
      </x:c>
    </x:row>
    <x:row r="53">
      <x:c r="A53" s="33" t="str">
        <x:v>20182020F1214800</x:v>
      </x:c>
      <x:c r="B53" s="33" t="str">
        <x:v>MINARM / SSA / DAPSA - Direction des Approvisionnements en produits de santé des armées</x:v>
      </x:c>
      <x:c r="C53" s="33" t="str">
        <x:v>B.BRAUN MEDICAL</x:v>
      </x:c>
      <x:c r="D53" s="33" t="str">
        <x:v>Fourniture de dispositifs médicaux d’ ORL, Stomatologie, Implantologie et Neurochirurgie.</x:v>
      </x:c>
      <x:c r="E53" s="33" t="str">
        <x:v>Matériels médicaux, pharmaceutiques et produits de soins personnnels.</x:v>
      </x:c>
      <x:c r="F53" s="36" t="n">
        <x:v>4543221</x:v>
      </x:c>
      <x:c r="G53" s="38" t="n">
        <x:v>43222</x:v>
      </x:c>
      <x:c r="H53" s="38" t="n">
        <x:v>43222</x:v>
      </x:c>
      <x:c r="I53" s="40" t="n">
        <x:v>48</x:v>
      </x:c>
      <x:c r="J53" s="33" t="str">
        <x:v>Accord-cadre</x:v>
      </x:c>
      <x:c r="K53" s="33" t="str">
        <x:v>Appel d'offres ouvert</x:v>
      </x:c>
      <x:c r="L53" s="33" t="str"/>
      <x:c r="M53" s="33" t="str">
        <x:v>(45) Loiret</x:v>
      </x:c>
      <x:c r="N53" s="33" t="str">
        <x:v>Oui</x:v>
      </x:c>
      <x:c r="O53" s="33" t="str">
        <x:v>data.gouv.fr_aife</x:v>
      </x:c>
      <x:c r="P53" s="33" t="str">
        <x:v>20182020F1214800</x:v>
      </x:c>
    </x:row>
    <x:row r="54">
      <x:c r="A54" s="33" t="str">
        <x:v>20182020F1215200</x:v>
      </x:c>
      <x:c r="B54" s="33" t="str">
        <x:v>MINARM / SSA / DAPSA - Direction des Approvisionnements en produits de santé des armées</x:v>
      </x:c>
      <x:c r="C54" s="33" t="str">
        <x:v>CONCEPT MEDICO TECHNIQUE WENGER</x:v>
      </x:c>
      <x:c r="D54" s="33" t="str">
        <x:v>Fourniture de dispositifs médicaux d’ ORL, Stomatologie, Implantologie et Neurochirurgie.</x:v>
      </x:c>
      <x:c r="E54" s="33" t="str">
        <x:v>Matériels médicaux, pharmaceutiques et produits de soins personnnels.</x:v>
      </x:c>
      <x:c r="F54" s="36" t="n">
        <x:v>4543221</x:v>
      </x:c>
      <x:c r="G54" s="38" t="n">
        <x:v>43222</x:v>
      </x:c>
      <x:c r="H54" s="38" t="n">
        <x:v>43222</x:v>
      </x:c>
      <x:c r="I54" s="40" t="n">
        <x:v>48</x:v>
      </x:c>
      <x:c r="J54" s="33" t="str">
        <x:v>Accord-cadre</x:v>
      </x:c>
      <x:c r="K54" s="33" t="str">
        <x:v>Appel d'offres ouvert</x:v>
      </x:c>
      <x:c r="L54" s="33" t="str"/>
      <x:c r="M54" s="33" t="str">
        <x:v>(45) Loiret</x:v>
      </x:c>
      <x:c r="N54" s="33" t="str">
        <x:v>Oui</x:v>
      </x:c>
      <x:c r="O54" s="33" t="str">
        <x:v>data.gouv.fr_aife</x:v>
      </x:c>
      <x:c r="P54" s="33" t="str">
        <x:v>20182020F1215200</x:v>
      </x:c>
    </x:row>
    <x:row r="55">
      <x:c r="A55" s="33" t="str">
        <x:v>20182020F1216200</x:v>
      </x:c>
      <x:c r="B55" s="33" t="str">
        <x:v>MINARM / SSA / DAPSA - Direction des Approvisionnements en produits de santé des armées</x:v>
      </x:c>
      <x:c r="C55" s="33" t="str">
        <x:v>INTEGRA LIFESCIENCES SERVICES (FRANCE)</x:v>
      </x:c>
      <x:c r="D55" s="33" t="str">
        <x:v>Fourniture de dispositifs médicaux d’ ORL, Stomatologie, Implantologie et Neurochirurgie.</x:v>
      </x:c>
      <x:c r="E55" s="33" t="str">
        <x:v>Matériels médicaux, pharmaceutiques et produits de soins personnnels.</x:v>
      </x:c>
      <x:c r="F55" s="36" t="n">
        <x:v>4543221</x:v>
      </x:c>
      <x:c r="G55" s="38" t="n">
        <x:v>43222</x:v>
      </x:c>
      <x:c r="H55" s="38" t="n">
        <x:v>43222</x:v>
      </x:c>
      <x:c r="I55" s="40" t="n">
        <x:v>48</x:v>
      </x:c>
      <x:c r="J55" s="33" t="str">
        <x:v>Accord-cadre</x:v>
      </x:c>
      <x:c r="K55" s="33" t="str">
        <x:v>Appel d'offres ouvert</x:v>
      </x:c>
      <x:c r="L55" s="33" t="str"/>
      <x:c r="M55" s="33" t="str">
        <x:v>(45) Loiret</x:v>
      </x:c>
      <x:c r="N55" s="33" t="str">
        <x:v>Oui</x:v>
      </x:c>
      <x:c r="O55" s="33" t="str">
        <x:v>data.gouv.fr_aife</x:v>
      </x:c>
      <x:c r="P55" s="33" t="str">
        <x:v>20182020F1216200</x:v>
      </x:c>
    </x:row>
    <x:row r="56">
      <x:c r="A56" s="33" t="str">
        <x:v>20182020F1216900</x:v>
      </x:c>
      <x:c r="B56" s="33" t="str">
        <x:v>MINARM / SSA / DAPSA - Direction des Approvisionnements en produits de santé des armées</x:v>
      </x:c>
      <x:c r="C56" s="33" t="str">
        <x:v>NOVATECH</x:v>
      </x:c>
      <x:c r="D56" s="33" t="str">
        <x:v>Fourniture de dispositifs médicaux d’ ORL, Stomatologie, Implantologie et Neurochirurgie.</x:v>
      </x:c>
      <x:c r="E56" s="33" t="str">
        <x:v>Matériels médicaux, pharmaceutiques et produits de soins personnnels.</x:v>
      </x:c>
      <x:c r="F56" s="36" t="n">
        <x:v>4543221</x:v>
      </x:c>
      <x:c r="G56" s="38" t="n">
        <x:v>43222</x:v>
      </x:c>
      <x:c r="H56" s="38" t="n">
        <x:v>43222</x:v>
      </x:c>
      <x:c r="I56" s="40" t="n">
        <x:v>48</x:v>
      </x:c>
      <x:c r="J56" s="33" t="str">
        <x:v>Accord-cadre</x:v>
      </x:c>
      <x:c r="K56" s="33" t="str">
        <x:v>Appel d'offres ouvert</x:v>
      </x:c>
      <x:c r="L56" s="33" t="str"/>
      <x:c r="M56" s="33" t="str">
        <x:v>(45) Loiret</x:v>
      </x:c>
      <x:c r="N56" s="33" t="str">
        <x:v>Oui</x:v>
      </x:c>
      <x:c r="O56" s="33" t="str">
        <x:v>data.gouv.fr_aife</x:v>
      </x:c>
      <x:c r="P56" s="33" t="str">
        <x:v>20182020F1216900</x:v>
      </x:c>
    </x:row>
    <x:row r="57">
      <x:c r="A57" s="33" t="str">
        <x:v>20182020F1217000</x:v>
      </x:c>
      <x:c r="B57" s="33" t="str">
        <x:v>MINARM / SSA / DAPSA - Direction des Approvisionnements en produits de santé des armées</x:v>
      </x:c>
      <x:c r="C57" s="33" t="str">
        <x:v>NOVOMEDICS FRANCE</x:v>
      </x:c>
      <x:c r="D57" s="33" t="str">
        <x:v>Fourniture de dispositifs médicaux d’ ORL, Stomatologie, Implantologie et Neurochirurgie.</x:v>
      </x:c>
      <x:c r="E57" s="33" t="str">
        <x:v>Matériels médicaux, pharmaceutiques et produits de soins personnnels.</x:v>
      </x:c>
      <x:c r="F57" s="36" t="n">
        <x:v>4543221</x:v>
      </x:c>
      <x:c r="G57" s="38" t="n">
        <x:v>43222</x:v>
      </x:c>
      <x:c r="H57" s="38" t="n">
        <x:v>43222</x:v>
      </x:c>
      <x:c r="I57" s="40" t="n">
        <x:v>48</x:v>
      </x:c>
      <x:c r="J57" s="33" t="str">
        <x:v>Accord-cadre</x:v>
      </x:c>
      <x:c r="K57" s="33" t="str">
        <x:v>Appel d'offres ouvert</x:v>
      </x:c>
      <x:c r="L57" s="33" t="str"/>
      <x:c r="M57" s="33" t="str">
        <x:v>(45) Loiret</x:v>
      </x:c>
      <x:c r="N57" s="33" t="str">
        <x:v>Oui</x:v>
      </x:c>
      <x:c r="O57" s="33" t="str">
        <x:v>data.gouv.fr_aife</x:v>
      </x:c>
      <x:c r="P57" s="33" t="str">
        <x:v>20182020F1217000</x:v>
      </x:c>
    </x:row>
    <x:row r="58">
      <x:c r="A58" s="33" t="str">
        <x:v>20182020F1217600</x:v>
      </x:c>
      <x:c r="B58" s="33" t="str">
        <x:v>MINARM / SSA / DAPSA - Direction des Approvisionnements en produits de santé des armées</x:v>
      </x:c>
      <x:c r="C58" s="33" t="str">
        <x:v>SOPHYSA</x:v>
      </x:c>
      <x:c r="D58" s="33" t="str">
        <x:v>Fourniture de dispositifs médicaux d’ ORL, Stomatologie, Implantologie et Neurochirurgie.</x:v>
      </x:c>
      <x:c r="E58" s="33" t="str">
        <x:v>Matériels médicaux, pharmaceutiques et produits de soins personnnels.</x:v>
      </x:c>
      <x:c r="F58" s="36" t="n">
        <x:v>4543221</x:v>
      </x:c>
      <x:c r="G58" s="38" t="n">
        <x:v>43222</x:v>
      </x:c>
      <x:c r="H58" s="38" t="n">
        <x:v>43222</x:v>
      </x:c>
      <x:c r="I58" s="40" t="n">
        <x:v>48</x:v>
      </x:c>
      <x:c r="J58" s="33" t="str">
        <x:v>Accord-cadre</x:v>
      </x:c>
      <x:c r="K58" s="33" t="str">
        <x:v>Appel d'offres ouvert</x:v>
      </x:c>
      <x:c r="L58" s="33" t="str"/>
      <x:c r="M58" s="33" t="str">
        <x:v>(45) Loiret</x:v>
      </x:c>
      <x:c r="N58" s="33" t="str">
        <x:v>Oui</x:v>
      </x:c>
      <x:c r="O58" s="33" t="str">
        <x:v>data.gouv.fr_aife</x:v>
      </x:c>
      <x:c r="P58" s="33" t="str">
        <x:v>20182020F1217600</x:v>
      </x:c>
    </x:row>
    <x:row r="59">
      <x:c r="A59" s="33" t="str">
        <x:v>20182020F1215000</x:v>
      </x:c>
      <x:c r="B59" s="33" t="str">
        <x:v>MINARM / SSA / DAPSA - Direction des Approvisionnements en produits de santé des armées</x:v>
      </x:c>
      <x:c r="C59" s="33" t="str">
        <x:v>CG MEDICAL</x:v>
      </x:c>
      <x:c r="D59" s="33" t="str">
        <x:v>Fourniture de dispositifs médicaux d’ ORL, Stomatologie, Implantologie et Neurochirurgie.</x:v>
      </x:c>
      <x:c r="E59" s="33" t="str">
        <x:v>Matériels médicaux, pharmaceutiques et produits de soins personnnels.</x:v>
      </x:c>
      <x:c r="F59" s="36" t="n">
        <x:v>4543221</x:v>
      </x:c>
      <x:c r="G59" s="38" t="n">
        <x:v>43222</x:v>
      </x:c>
      <x:c r="H59" s="38" t="n">
        <x:v>43222</x:v>
      </x:c>
      <x:c r="I59" s="40" t="n">
        <x:v>48</x:v>
      </x:c>
      <x:c r="J59" s="33" t="str">
        <x:v>Accord-cadre</x:v>
      </x:c>
      <x:c r="K59" s="33" t="str">
        <x:v>Appel d'offres ouvert</x:v>
      </x:c>
      <x:c r="L59" s="33" t="str"/>
      <x:c r="M59" s="33" t="str">
        <x:v>(45) Loiret</x:v>
      </x:c>
      <x:c r="N59" s="33" t="str">
        <x:v>Oui</x:v>
      </x:c>
      <x:c r="O59" s="33" t="str">
        <x:v>data.gouv.fr_aife</x:v>
      </x:c>
      <x:c r="P59" s="33" t="str">
        <x:v>20182020F1215000</x:v>
      </x:c>
    </x:row>
    <x:row r="60">
      <x:c r="A60" s="33" t="str">
        <x:v>20182020F1215800</x:v>
      </x:c>
      <x:c r="B60" s="33" t="str">
        <x:v>MINARM / SSA / DAPSA - Direction des Approvisionnements en produits de santé des armées</x:v>
      </x:c>
      <x:c r="C60" s="33" t="str">
        <x:v>DENTSPLY SIRONA FRANCE</x:v>
      </x:c>
      <x:c r="D60" s="33" t="str">
        <x:v>Fourniture de dispositifs médicaux d’ ORL, Stomatologie, Implantologie et Neurochirurgie.</x:v>
      </x:c>
      <x:c r="E60" s="33" t="str">
        <x:v>Matériels médicaux, pharmaceutiques et produits de soins personnnels.</x:v>
      </x:c>
      <x:c r="F60" s="36" t="n">
        <x:v>4543221</x:v>
      </x:c>
      <x:c r="G60" s="38" t="n">
        <x:v>43222</x:v>
      </x:c>
      <x:c r="H60" s="38" t="n">
        <x:v>43222</x:v>
      </x:c>
      <x:c r="I60" s="40" t="n">
        <x:v>48</x:v>
      </x:c>
      <x:c r="J60" s="33" t="str">
        <x:v>Accord-cadre</x:v>
      </x:c>
      <x:c r="K60" s="33" t="str">
        <x:v>Appel d'offres ouvert</x:v>
      </x:c>
      <x:c r="L60" s="33" t="str"/>
      <x:c r="M60" s="33" t="str">
        <x:v>(45) Loiret</x:v>
      </x:c>
      <x:c r="N60" s="33" t="str">
        <x:v>Oui</x:v>
      </x:c>
      <x:c r="O60" s="33" t="str">
        <x:v>data.gouv.fr_aife</x:v>
      </x:c>
      <x:c r="P60" s="33" t="str">
        <x:v>20182020F1215800</x:v>
      </x:c>
    </x:row>
    <x:row r="61">
      <x:c r="A61" s="33" t="str">
        <x:v>20182020F1216500</x:v>
      </x:c>
      <x:c r="B61" s="33" t="str">
        <x:v>MINARM / SSA / DAPSA - Direction des Approvisionnements en produits de santé des armées</x:v>
      </x:c>
      <x:c r="C61" s="33" t="str">
        <x:v>MASSON DOMITAL</x:v>
      </x:c>
      <x:c r="D61" s="33" t="str">
        <x:v>Fourniture de dispositifs médicaux d’ ORL, Stomatologie, Implantologie et Neurochirurgie.</x:v>
      </x:c>
      <x:c r="E61" s="33" t="str">
        <x:v>Matériels médicaux, pharmaceutiques et produits de soins personnnels.</x:v>
      </x:c>
      <x:c r="F61" s="36" t="n">
        <x:v>4543221</x:v>
      </x:c>
      <x:c r="G61" s="38" t="n">
        <x:v>43222</x:v>
      </x:c>
      <x:c r="H61" s="38" t="n">
        <x:v>43222</x:v>
      </x:c>
      <x:c r="I61" s="40" t="n">
        <x:v>48</x:v>
      </x:c>
      <x:c r="J61" s="33" t="str">
        <x:v>Accord-cadre</x:v>
      </x:c>
      <x:c r="K61" s="33" t="str">
        <x:v>Appel d'offres ouvert</x:v>
      </x:c>
      <x:c r="L61" s="33" t="str"/>
      <x:c r="M61" s="33" t="str">
        <x:v>(45) Loiret</x:v>
      </x:c>
      <x:c r="N61" s="33" t="str">
        <x:v>Oui</x:v>
      </x:c>
      <x:c r="O61" s="33" t="str">
        <x:v>data.gouv.fr_aife</x:v>
      </x:c>
      <x:c r="P61" s="33" t="str">
        <x:v>20182020F1216500</x:v>
      </x:c>
    </x:row>
    <x:row r="62">
      <x:c r="A62" s="33" t="str">
        <x:v>20182020F1216700</x:v>
      </x:c>
      <x:c r="B62" s="33" t="str">
        <x:v>MINARM / SSA / DAPSA - Direction des Approvisionnements en produits de santé des armées</x:v>
      </x:c>
      <x:c r="C62" s="33" t="str">
        <x:v>MOLLER MEDICAL GmbH</x:v>
      </x:c>
      <x:c r="D62" s="33" t="str">
        <x:v>Fourniture de dispositifs médicaux d’ ORL, Stomatologie, Implantologie et Neurochirurgie.</x:v>
      </x:c>
      <x:c r="E62" s="33" t="str">
        <x:v>Matériels médicaux, pharmaceutiques et produits de soins personnnels.</x:v>
      </x:c>
      <x:c r="F62" s="36" t="n">
        <x:v>4543221</x:v>
      </x:c>
      <x:c r="G62" s="38" t="n">
        <x:v>43222</x:v>
      </x:c>
      <x:c r="H62" s="38" t="n">
        <x:v>43222</x:v>
      </x:c>
      <x:c r="I62" s="40" t="n">
        <x:v>48</x:v>
      </x:c>
      <x:c r="J62" s="33" t="str">
        <x:v>Accord-cadre</x:v>
      </x:c>
      <x:c r="K62" s="33" t="str">
        <x:v>Appel d'offres ouvert</x:v>
      </x:c>
      <x:c r="L62" s="33" t="str"/>
      <x:c r="M62" s="33" t="str">
        <x:v>(45) Loiret</x:v>
      </x:c>
      <x:c r="N62" s="33" t="str">
        <x:v>Oui</x:v>
      </x:c>
      <x:c r="O62" s="33" t="str">
        <x:v>data.gouv.fr_aife</x:v>
      </x:c>
      <x:c r="P62" s="33" t="str">
        <x:v>20182020F1216700</x:v>
      </x:c>
    </x:row>
    <x:row r="63">
      <x:c r="A63" s="33" t="str">
        <x:v>20182020F1215100</x:v>
      </x:c>
      <x:c r="B63" s="33" t="str">
        <x:v>MINARM / SSA / DAPSA - Direction des Approvisionnements en produits de santé des armées</x:v>
      </x:c>
      <x:c r="C63" s="33" t="str">
        <x:v>CHRISTOPH MIETHKE GMBH</x:v>
      </x:c>
      <x:c r="D63" s="33" t="str">
        <x:v>Fourniture de dispositifs médicaux d’ ORL, Stomatologie, Implantologie et Neurochirurgie.</x:v>
      </x:c>
      <x:c r="E63" s="33" t="str">
        <x:v>Matériels médicaux, pharmaceutiques et produits de soins personnnels.</x:v>
      </x:c>
      <x:c r="F63" s="36" t="n">
        <x:v>4543221</x:v>
      </x:c>
      <x:c r="G63" s="38" t="n">
        <x:v>43223</x:v>
      </x:c>
      <x:c r="H63" s="38" t="n">
        <x:v>43223</x:v>
      </x:c>
      <x:c r="I63" s="40" t="n">
        <x:v>48</x:v>
      </x:c>
      <x:c r="J63" s="33" t="str">
        <x:v>Accord-cadre</x:v>
      </x:c>
      <x:c r="K63" s="33" t="str">
        <x:v>Appel d'offres ouvert</x:v>
      </x:c>
      <x:c r="L63" s="33" t="str"/>
      <x:c r="M63" s="33" t="str">
        <x:v>(45) Loiret</x:v>
      </x:c>
      <x:c r="N63" s="33" t="str">
        <x:v>Oui</x:v>
      </x:c>
      <x:c r="O63" s="33" t="str">
        <x:v>data.gouv.fr_aife</x:v>
      </x:c>
      <x:c r="P63" s="33" t="str">
        <x:v>20182020F1215100</x:v>
      </x:c>
    </x:row>
    <x:row r="64">
      <x:c r="A64" s="33" t="str">
        <x:v>20182020F1216100</x:v>
      </x:c>
      <x:c r="B64" s="33" t="str">
        <x:v>MINARM / SSA / DAPSA - Direction des Approvisionnements en produits de santé des armées</x:v>
      </x:c>
      <x:c r="C64" s="33" t="str">
        <x:v>HENRY SCHEIN FRANCE SCA</x:v>
      </x:c>
      <x:c r="D64" s="33" t="str">
        <x:v>Fourniture de dispositifs médicaux d’ ORL, Stomatologie, Implantologie et Neurochirurgie.</x:v>
      </x:c>
      <x:c r="E64" s="33" t="str">
        <x:v>Matériels médicaux, pharmaceutiques et produits de soins personnnels.</x:v>
      </x:c>
      <x:c r="F64" s="36" t="n">
        <x:v>4543221</x:v>
      </x:c>
      <x:c r="G64" s="38" t="n">
        <x:v>43223</x:v>
      </x:c>
      <x:c r="H64" s="38" t="n">
        <x:v>43223</x:v>
      </x:c>
      <x:c r="I64" s="40" t="n">
        <x:v>48</x:v>
      </x:c>
      <x:c r="J64" s="33" t="str">
        <x:v>Accord-cadre</x:v>
      </x:c>
      <x:c r="K64" s="33" t="str">
        <x:v>Appel d'offres ouvert</x:v>
      </x:c>
      <x:c r="L64" s="33" t="str"/>
      <x:c r="M64" s="33" t="str">
        <x:v>(45) Loiret</x:v>
      </x:c>
      <x:c r="N64" s="33" t="str">
        <x:v>Oui</x:v>
      </x:c>
      <x:c r="O64" s="33" t="str">
        <x:v>data.gouv.fr_aife</x:v>
      </x:c>
      <x:c r="P64" s="33" t="str">
        <x:v>20182020F1216100</x:v>
      </x:c>
    </x:row>
    <x:row r="65">
      <x:c r="A65" s="33" t="str">
        <x:v>20182020F1218100</x:v>
      </x:c>
      <x:c r="B65" s="33" t="str">
        <x:v>MINARM / SSA / DAPSA - Direction des Approvisionnements en produits de santé des armées</x:v>
      </x:c>
      <x:c r="C65" s="33" t="str">
        <x:v>THE SURGICAL COMPANY SAS</x:v>
      </x:c>
      <x:c r="D65" s="33" t="str">
        <x:v>Fourniture de dispositifs médicaux d’ ORL, Stomatologie, Implantologie et Neurochirurgie.</x:v>
      </x:c>
      <x:c r="E65" s="33" t="str">
        <x:v>Matériels médicaux, pharmaceutiques et produits de soins personnnels.</x:v>
      </x:c>
      <x:c r="F65" s="36" t="n">
        <x:v>4543221</x:v>
      </x:c>
      <x:c r="G65" s="38" t="n">
        <x:v>43223</x:v>
      </x:c>
      <x:c r="H65" s="38" t="n">
        <x:v>43223</x:v>
      </x:c>
      <x:c r="I65" s="40" t="n">
        <x:v>48</x:v>
      </x:c>
      <x:c r="J65" s="33" t="str">
        <x:v>Accord-cadre</x:v>
      </x:c>
      <x:c r="K65" s="33" t="str">
        <x:v>Appel d'offres ouvert</x:v>
      </x:c>
      <x:c r="L65" s="33" t="str"/>
      <x:c r="M65" s="33" t="str">
        <x:v>(45) Loiret</x:v>
      </x:c>
      <x:c r="N65" s="33" t="str">
        <x:v>Oui</x:v>
      </x:c>
      <x:c r="O65" s="33" t="str">
        <x:v>data.gouv.fr_aife</x:v>
      </x:c>
      <x:c r="P65" s="33" t="str">
        <x:v>20182020F1218100</x:v>
      </x:c>
    </x:row>
    <x:row r="66">
      <x:c r="A66" s="33" t="str">
        <x:v>2018150872813100</x:v>
      </x:c>
      <x:c r="B66" s="33" t="str">
        <x:v>MINARM / SGA / SID / ESID Rennes - Etablissement du service d'infrastructure de la défense de Rennes - ESID Rennes</x:v>
      </x:c>
      <x:c r="C66" s="33" t="str">
        <x:v>SPIE OUEST-CENTRE</x:v>
      </x:c>
      <x:c r="D66" s="33" t="str">
        <x:v>RENNES (35) - Quartier Margueritte - Travaux d'électricité et d'aménagement au profit d'une structure modulaire</x:v>
      </x:c>
      <x:c r="E66" s="33" t="str">
        <x:v>Travaux d'installations électriques.</x:v>
      </x:c>
      <x:c r="F66" s="36" t="n">
        <x:v>447898</x:v>
      </x:c>
      <x:c r="G66" s="38" t="n">
        <x:v>43223</x:v>
      </x:c>
      <x:c r="H66" s="38" t="n">
        <x:v>43223</x:v>
      </x:c>
      <x:c r="I66" s="40" t="n">
        <x:v>3</x:v>
      </x:c>
      <x:c r="J66" s="33" t="str"/>
      <x:c r="K66" s="33" t="str"/>
      <x:c r="L66" s="33" t="str"/>
      <x:c r="M66" s="33" t="str">
        <x:v>(35) Ille-et-Vilaine</x:v>
      </x:c>
      <x:c r="N66" s="33" t="str">
        <x:v>Oui</x:v>
      </x:c>
      <x:c r="O66" s="33" t="str">
        <x:v>data.gouv.fr_aife</x:v>
      </x:c>
      <x:c r="P66" s="33" t="str">
        <x:v>2018150872813100</x:v>
      </x:c>
    </x:row>
    <x:row r="67">
      <x:c r="A67" s="33" t="str">
        <x:v>20182020F1215400</x:v>
      </x:c>
      <x:c r="B67" s="33" t="str">
        <x:v>MINARM / SSA / DAPSA - Direction des Approvisionnements en produits de santé des armées</x:v>
      </x:c>
      <x:c r="C67" s="33" t="str">
        <x:v>COMEPA -INDUSTRIES</x:v>
      </x:c>
      <x:c r="D67" s="33" t="str">
        <x:v>Fourniture de dispositifs médicaux d’ ORL, Stomatologie, Implantologie et Neurochirurgie.</x:v>
      </x:c>
      <x:c r="E67" s="33" t="str">
        <x:v>Matériels médicaux, pharmaceutiques et produits de soins personnnels.</x:v>
      </x:c>
      <x:c r="F67" s="36" t="n">
        <x:v>4543221</x:v>
      </x:c>
      <x:c r="G67" s="38" t="n">
        <x:v>43223</x:v>
      </x:c>
      <x:c r="H67" s="38" t="n">
        <x:v>43223</x:v>
      </x:c>
      <x:c r="I67" s="40" t="n">
        <x:v>48</x:v>
      </x:c>
      <x:c r="J67" s="33" t="str">
        <x:v>Accord-cadre</x:v>
      </x:c>
      <x:c r="K67" s="33" t="str">
        <x:v>Appel d'offres ouvert</x:v>
      </x:c>
      <x:c r="L67" s="33" t="str"/>
      <x:c r="M67" s="33" t="str">
        <x:v>(45) Loiret</x:v>
      </x:c>
      <x:c r="N67" s="33" t="str">
        <x:v>Oui</x:v>
      </x:c>
      <x:c r="O67" s="33" t="str">
        <x:v>data.gouv.fr_aife</x:v>
      </x:c>
      <x:c r="P67" s="33" t="str">
        <x:v>20182020F1215400</x:v>
      </x:c>
    </x:row>
    <x:row r="68">
      <x:c r="A68" s="33" t="str">
        <x:v>20182020F1218200</x:v>
      </x:c>
      <x:c r="B68" s="33" t="str">
        <x:v>MINARM / SSA / DAPSA - Direction des Approvisionnements en produits de santé des armées</x:v>
      </x:c>
      <x:c r="C68" s="33" t="str">
        <x:v>THIEBAUD SAS</x:v>
      </x:c>
      <x:c r="D68" s="33" t="str">
        <x:v>Fourniture de dispositifs médicaux d’ ORL, Stomatologie, Implantologie et Neurochirurgie.</x:v>
      </x:c>
      <x:c r="E68" s="33" t="str">
        <x:v>Matériels médicaux, pharmaceutiques et produits de soins personnnels.</x:v>
      </x:c>
      <x:c r="F68" s="36" t="n">
        <x:v>4543221</x:v>
      </x:c>
      <x:c r="G68" s="38" t="n">
        <x:v>43223</x:v>
      </x:c>
      <x:c r="H68" s="38" t="n">
        <x:v>43223</x:v>
      </x:c>
      <x:c r="I68" s="40" t="n">
        <x:v>48</x:v>
      </x:c>
      <x:c r="J68" s="33" t="str">
        <x:v>Accord-cadre</x:v>
      </x:c>
      <x:c r="K68" s="33" t="str">
        <x:v>Appel d'offres ouvert</x:v>
      </x:c>
      <x:c r="L68" s="33" t="str"/>
      <x:c r="M68" s="33" t="str">
        <x:v>(45) Loiret</x:v>
      </x:c>
      <x:c r="N68" s="33" t="str">
        <x:v>Oui</x:v>
      </x:c>
      <x:c r="O68" s="33" t="str">
        <x:v>data.gouv.fr_aife</x:v>
      </x:c>
      <x:c r="P68" s="33" t="str">
        <x:v>20182020F1218200</x:v>
      </x:c>
    </x:row>
    <x:row r="69">
      <x:c r="A69" s="33" t="str">
        <x:v>20182020F1218500</x:v>
      </x:c>
      <x:c r="B69" s="33" t="str">
        <x:v>MINARM / SSA / DAPSA - Direction des Approvisionnements en produits de santé des armées</x:v>
      </x:c>
      <x:c r="C69" s="33" t="str">
        <x:v>ZIMMER DENTAL SAS</x:v>
      </x:c>
      <x:c r="D69" s="33" t="str">
        <x:v>Fourniture de dispositifs médicaux d’ ORL, Stomatologie, Implantologie et Neurochirurgie.</x:v>
      </x:c>
      <x:c r="E69" s="33" t="str">
        <x:v>Matériels médicaux, pharmaceutiques et produits de soins personnnels.</x:v>
      </x:c>
      <x:c r="F69" s="36" t="n">
        <x:v>4543221</x:v>
      </x:c>
      <x:c r="G69" s="38" t="n">
        <x:v>43223</x:v>
      </x:c>
      <x:c r="H69" s="38" t="n">
        <x:v>43223</x:v>
      </x:c>
      <x:c r="I69" s="40" t="n">
        <x:v>48</x:v>
      </x:c>
      <x:c r="J69" s="33" t="str">
        <x:v>Accord-cadre</x:v>
      </x:c>
      <x:c r="K69" s="33" t="str">
        <x:v>Appel d'offres ouvert</x:v>
      </x:c>
      <x:c r="L69" s="33" t="str"/>
      <x:c r="M69" s="33" t="str">
        <x:v>(45) Loiret</x:v>
      </x:c>
      <x:c r="N69" s="33" t="str">
        <x:v>Oui</x:v>
      </x:c>
      <x:c r="O69" s="33" t="str">
        <x:v>data.gouv.fr_aife</x:v>
      </x:c>
      <x:c r="P69" s="33" t="str">
        <x:v>20182020F1218500</x:v>
      </x:c>
    </x:row>
    <x:row r="70">
      <x:c r="A70" s="33" t="str">
        <x:v>20182020F1216600</x:v>
      </x:c>
      <x:c r="B70" s="33" t="str">
        <x:v>MINARM / SSA / DAPSA - Direction des Approvisionnements en produits de santé des armées</x:v>
      </x:c>
      <x:c r="C70" s="33" t="str">
        <x:v>MEDTRONIC</x:v>
      </x:c>
      <x:c r="D70" s="33" t="str">
        <x:v>Fourniture de dispositifs médicaux d’ ORL, Stomatologie, Implantologie et Neurochirurgie.</x:v>
      </x:c>
      <x:c r="E70" s="33" t="str">
        <x:v>Matériels médicaux, pharmaceutiques et produits de soins personnnels.</x:v>
      </x:c>
      <x:c r="F70" s="36" t="n">
        <x:v>4543221</x:v>
      </x:c>
      <x:c r="G70" s="38" t="n">
        <x:v>43224</x:v>
      </x:c>
      <x:c r="H70" s="38" t="n">
        <x:v>43224</x:v>
      </x:c>
      <x:c r="I70" s="40" t="n">
        <x:v>48</x:v>
      </x:c>
      <x:c r="J70" s="33" t="str">
        <x:v>Accord-cadre</x:v>
      </x:c>
      <x:c r="K70" s="33" t="str">
        <x:v>Appel d'offres ouvert</x:v>
      </x:c>
      <x:c r="L70" s="33" t="str"/>
      <x:c r="M70" s="33" t="str">
        <x:v>(45) Loiret</x:v>
      </x:c>
      <x:c r="N70" s="33" t="str">
        <x:v>Oui</x:v>
      </x:c>
      <x:c r="O70" s="33" t="str">
        <x:v>data.gouv.fr_aife</x:v>
      </x:c>
      <x:c r="P70" s="33" t="str">
        <x:v>20182020F1216600</x:v>
      </x:c>
    </x:row>
    <x:row r="71">
      <x:c r="A71" s="33" t="str">
        <x:v>20182020F1217500</x:v>
      </x:c>
      <x:c r="B71" s="33" t="str">
        <x:v>MINARM / SSA / DAPSA - Direction des Approvisionnements en produits de santé des armées</x:v>
      </x:c>
      <x:c r="C71" s="33" t="str">
        <x:v>SMITHS MEDICAL FRANCE SAS</x:v>
      </x:c>
      <x:c r="D71" s="33" t="str">
        <x:v>Fourniture de dispositifs médicaux d’ ORL, Stomatologie, Implantologie et Neurochirurgie.</x:v>
      </x:c>
      <x:c r="E71" s="33" t="str">
        <x:v>Matériels médicaux, pharmaceutiques et produits de soins personnnels.</x:v>
      </x:c>
      <x:c r="F71" s="36" t="n">
        <x:v>4543221</x:v>
      </x:c>
      <x:c r="G71" s="38" t="n">
        <x:v>43227</x:v>
      </x:c>
      <x:c r="H71" s="38" t="n">
        <x:v>43227</x:v>
      </x:c>
      <x:c r="I71" s="40" t="n">
        <x:v>48</x:v>
      </x:c>
      <x:c r="J71" s="33" t="str">
        <x:v>Accord-cadre</x:v>
      </x:c>
      <x:c r="K71" s="33" t="str">
        <x:v>Appel d'offres ouvert</x:v>
      </x:c>
      <x:c r="L71" s="33" t="str"/>
      <x:c r="M71" s="33" t="str">
        <x:v>(45) Loiret</x:v>
      </x:c>
      <x:c r="N71" s="33" t="str">
        <x:v>Oui</x:v>
      </x:c>
      <x:c r="O71" s="33" t="str">
        <x:v>data.gouv.fr_aife</x:v>
      </x:c>
      <x:c r="P71" s="33" t="str">
        <x:v>20182020F1217500</x:v>
      </x:c>
    </x:row>
    <x:row r="72">
      <x:c r="A72" s="33" t="str">
        <x:v>20182020F1215500</x:v>
      </x:c>
      <x:c r="B72" s="33" t="str">
        <x:v>MINARM / SSA / DAPSA - Direction des Approvisionnements en produits de santé des armées</x:v>
      </x:c>
      <x:c r="C72" s="33" t="str">
        <x:v>CONFLUENCE HEALTHCARE</x:v>
      </x:c>
      <x:c r="D72" s="33" t="str">
        <x:v>Fourniture de dispositifs médicaux d’ ORL, Stomatologie, Implantologie et Neurochirurgie.</x:v>
      </x:c>
      <x:c r="E72" s="33" t="str">
        <x:v>Matériels médicaux, pharmaceutiques et produits de soins personnnels.</x:v>
      </x:c>
      <x:c r="F72" s="36" t="n">
        <x:v>4543221</x:v>
      </x:c>
      <x:c r="G72" s="38" t="n">
        <x:v>43229</x:v>
      </x:c>
      <x:c r="H72" s="38" t="n">
        <x:v>43229</x:v>
      </x:c>
      <x:c r="I72" s="40" t="n">
        <x:v>48</x:v>
      </x:c>
      <x:c r="J72" s="33" t="str">
        <x:v>Accord-cadre</x:v>
      </x:c>
      <x:c r="K72" s="33" t="str">
        <x:v>Appel d'offres ouvert</x:v>
      </x:c>
      <x:c r="L72" s="33" t="str"/>
      <x:c r="M72" s="33" t="str">
        <x:v>(45) Loiret</x:v>
      </x:c>
      <x:c r="N72" s="33" t="str">
        <x:v>Oui</x:v>
      </x:c>
      <x:c r="O72" s="33" t="str">
        <x:v>data.gouv.fr_aife</x:v>
      </x:c>
      <x:c r="P72" s="33" t="str">
        <x:v>20182020F1215500</x:v>
      </x:c>
    </x:row>
    <x:row r="73">
      <x:c r="A73" s="33" t="str">
        <x:v>20182020F1217400</x:v>
      </x:c>
      <x:c r="B73" s="33" t="str">
        <x:v>MINARM / SSA / DAPSA - Direction des Approvisionnements en produits de santé des armées</x:v>
      </x:c>
      <x:c r="C73" s="33" t="str">
        <x:v>SMITH ET NEPHEW SAS</x:v>
      </x:c>
      <x:c r="D73" s="33" t="str">
        <x:v>Fourniture de dispositifs médicaux d’ ORL, Stomatologie, Implantologie et Neurochirurgie.</x:v>
      </x:c>
      <x:c r="E73" s="33" t="str">
        <x:v>Matériels médicaux, pharmaceutiques et produits de soins personnnels.</x:v>
      </x:c>
      <x:c r="F73" s="36" t="n">
        <x:v>4543221</x:v>
      </x:c>
      <x:c r="G73" s="38" t="n">
        <x:v>43231</x:v>
      </x:c>
      <x:c r="H73" s="38" t="n">
        <x:v>43231</x:v>
      </x:c>
      <x:c r="I73" s="40" t="n">
        <x:v>48</x:v>
      </x:c>
      <x:c r="J73" s="33" t="str">
        <x:v>Accord-cadre</x:v>
      </x:c>
      <x:c r="K73" s="33" t="str">
        <x:v>Appel d'offres ouvert</x:v>
      </x:c>
      <x:c r="L73" s="33" t="str"/>
      <x:c r="M73" s="33" t="str">
        <x:v>(45) Loiret</x:v>
      </x:c>
      <x:c r="N73" s="33" t="str">
        <x:v>Oui</x:v>
      </x:c>
      <x:c r="O73" s="33" t="str">
        <x:v>data.gouv.fr_aife</x:v>
      </x:c>
      <x:c r="P73" s="33" t="str">
        <x:v>20182020F1217400</x:v>
      </x:c>
    </x:row>
    <x:row r="74">
      <x:c r="A74" s="33" t="str">
        <x:v>20182020F1218400</x:v>
      </x:c>
      <x:c r="B74" s="33" t="str">
        <x:v>MINARM / SSA / DAPSA - Direction des Approvisionnements en produits de santé des armées</x:v>
      </x:c>
      <x:c r="C74" s="33" t="str">
        <x:v>VYGON</x:v>
      </x:c>
      <x:c r="D74" s="33" t="str">
        <x:v>Fourniture de dispositifs médicaux d’ ORL, Stomatologie, Implantologie et Neurochirurgie.</x:v>
      </x:c>
      <x:c r="E74" s="33" t="str">
        <x:v>Matériels médicaux, pharmaceutiques et produits de soins personnnels.</x:v>
      </x:c>
      <x:c r="F74" s="36" t="n">
        <x:v>4543221</x:v>
      </x:c>
      <x:c r="G74" s="38" t="n">
        <x:v>43242</x:v>
      </x:c>
      <x:c r="H74" s="38" t="n">
        <x:v>43242</x:v>
      </x:c>
      <x:c r="I74" s="40" t="n">
        <x:v>48</x:v>
      </x:c>
      <x:c r="J74" s="33" t="str">
        <x:v>Accord-cadre</x:v>
      </x:c>
      <x:c r="K74" s="33" t="str">
        <x:v>Appel d'offres ouvert</x:v>
      </x:c>
      <x:c r="L74" s="33" t="str"/>
      <x:c r="M74" s="33" t="str">
        <x:v>(45) Loiret</x:v>
      </x:c>
      <x:c r="N74" s="33" t="str">
        <x:v>Oui</x:v>
      </x:c>
      <x:c r="O74" s="33" t="str">
        <x:v>data.gouv.fr_aife</x:v>
      </x:c>
      <x:c r="P74" s="33" t="str">
        <x:v>20182020F1218400</x:v>
      </x:c>
    </x:row>
    <x:row r="75">
      <x:c r="A75" s="33" t="str">
        <x:v>2018150857411900</x:v>
      </x:c>
      <x:c r="B75" s="33" t="str">
        <x:v>MINARM / SGA / SID / DID SDS - Direction d'infrastructure de la défense de Saint-Denis - DID Saint Denis</x:v>
      </x:c>
      <x:c r="C75" s="33" t="str">
        <x:v>SAS BATI FER</x:v>
      </x:c>
      <x:c r="D75" s="33" t="str">
        <x:v>AVIS D'APPEL PUBLIC A LA CONCURRENCE - TRAVAUX - I . IDENTIFICATION DE L'ORGANISME QUI PASSE LE MARCHE - Direction d'Infrastructure de la Défense de Saint-Denis - Division Achats Infrastructure et Aide à l'Activité - Caserne Lambert - Avenue du chef d...</x:v>
      </x:c>
      <x:c r="E75" s="33" t="str">
        <x:v>Travaux d'installation de clôtures, de garde-corps et de dispositifs de sécurité.</x:v>
      </x:c>
      <x:c r="F75" s="36" t="n">
        <x:v>491705</x:v>
      </x:c>
      <x:c r="G75" s="38" t="n">
        <x:v>43243</x:v>
      </x:c>
      <x:c r="H75" s="38" t="n">
        <x:v>43243</x:v>
      </x:c>
      <x:c r="I75" s="40" t="n">
        <x:v>8</x:v>
      </x:c>
      <x:c r="J75" s="33" t="str"/>
      <x:c r="K75" s="33" t="str"/>
      <x:c r="L75" s="33" t="str"/>
      <x:c r="M75" s="33" t="str">
        <x:v>(974) Réunion</x:v>
      </x:c>
      <x:c r="N75" s="33" t="str">
        <x:v>Oui</x:v>
      </x:c>
      <x:c r="O75" s="33" t="str">
        <x:v>data.gouv.fr_aife</x:v>
      </x:c>
      <x:c r="P75" s="33" t="str">
        <x:v>2018150857411900</x:v>
      </x:c>
    </x:row>
    <x:row r="76">
      <x:c r="A76" s="33" t="str">
        <x:v>20182020F1217700</x:v>
      </x:c>
      <x:c r="B76" s="33" t="str">
        <x:v>MINARM / SSA / DAPSA - Direction des Approvisionnements en produits de santé des armées</x:v>
      </x:c>
      <x:c r="C76" s="33" t="str">
        <x:v>STRAUMANN</x:v>
      </x:c>
      <x:c r="D76" s="33" t="str">
        <x:v>Fourniture de dispositifs médicaux d’ ORL, Stomatologie, Implantologie et Neurochirurgie.</x:v>
      </x:c>
      <x:c r="E76" s="33" t="str">
        <x:v>Matériels médicaux, pharmaceutiques et produits de soins personnnels.</x:v>
      </x:c>
      <x:c r="F76" s="36" t="n">
        <x:v>4543221</x:v>
      </x:c>
      <x:c r="G76" s="38" t="n">
        <x:v>43248</x:v>
      </x:c>
      <x:c r="H76" s="38" t="n">
        <x:v>43248</x:v>
      </x:c>
      <x:c r="I76" s="40" t="n">
        <x:v>48</x:v>
      </x:c>
      <x:c r="J76" s="33" t="str">
        <x:v>Accord-cadre</x:v>
      </x:c>
      <x:c r="K76" s="33" t="str">
        <x:v>Appel d'offres ouvert</x:v>
      </x:c>
      <x:c r="L76" s="33" t="str"/>
      <x:c r="M76" s="33" t="str">
        <x:v>(45) Loiret</x:v>
      </x:c>
      <x:c r="N76" s="33" t="str">
        <x:v>Oui</x:v>
      </x:c>
      <x:c r="O76" s="33" t="str">
        <x:v>data.gouv.fr_aife</x:v>
      </x:c>
      <x:c r="P76" s="33" t="str">
        <x:v>20182020F1217700</x:v>
      </x:c>
    </x:row>
    <x:row r="77">
      <x:c r="A77" s="33" t="str">
        <x:v>20182020F1216400</x:v>
      </x:c>
      <x:c r="B77" s="33" t="str">
        <x:v>MINARM / SSA / DAPSA - Direction des Approvisionnements en produits de santé des armées</x:v>
      </x:c>
      <x:c r="C77" s="33" t="str">
        <x:v>KARL STORZ ENDOSCOPIE FRANCE</x:v>
      </x:c>
      <x:c r="D77" s="33" t="str">
        <x:v>Fourniture de dispositifs médicaux d’ ORL, Stomatologie, Implantologie et Neurochirurgie.</x:v>
      </x:c>
      <x:c r="E77" s="33" t="str">
        <x:v>Matériels médicaux, pharmaceutiques et produits de soins personnnels.</x:v>
      </x:c>
      <x:c r="F77" s="36" t="n">
        <x:v>4543221</x:v>
      </x:c>
      <x:c r="G77" s="38" t="n">
        <x:v>43248</x:v>
      </x:c>
      <x:c r="H77" s="38" t="n">
        <x:v>43248</x:v>
      </x:c>
      <x:c r="I77" s="40" t="n">
        <x:v>48</x:v>
      </x:c>
      <x:c r="J77" s="33" t="str">
        <x:v>Accord-cadre</x:v>
      </x:c>
      <x:c r="K77" s="33" t="str">
        <x:v>Appel d'offres ouvert</x:v>
      </x:c>
      <x:c r="L77" s="33" t="str"/>
      <x:c r="M77" s="33" t="str">
        <x:v>(45) Loiret</x:v>
      </x:c>
      <x:c r="N77" s="33" t="str">
        <x:v>Oui</x:v>
      </x:c>
      <x:c r="O77" s="33" t="str">
        <x:v>data.gouv.fr_aife</x:v>
      </x:c>
      <x:c r="P77" s="33" t="str">
        <x:v>20182020F1216400</x:v>
      </x:c>
    </x:row>
    <x:row r="78">
      <x:c r="A78" s="33" t="str">
        <x:v>20182019S0737000</x:v>
      </x:c>
      <x:c r="B78" s="33" t="str">
        <x:v>MINARM / ESTM / EPA / MAE - Musée de l'Air et de l'Espace</x:v>
      </x:c>
      <x:c r="C78" s="33" t="str">
        <x:v>AXIMA CONCEPT</x:v>
      </x:c>
      <x:c r="D78" s="33" t="str">
        <x:v>Marché de prestations de maintenance CVC réserve muséale « bois et toile »</x:v>
      </x:c>
      <x:c r="E78" s="33" t="str">
        <x:v>Services de réparation et d'entretien.</x:v>
      </x:c>
      <x:c r="F78" s="36" t="n">
        <x:v>5380</x:v>
      </x:c>
      <x:c r="G78" s="38" t="n">
        <x:v>43248</x:v>
      </x:c>
      <x:c r="H78" s="38" t="n">
        <x:v>43248</x:v>
      </x:c>
      <x:c r="I78" s="40" t="n">
        <x:v>12</x:v>
      </x:c>
      <x:c r="J78" s="33" t="str">
        <x:v>Marché</x:v>
      </x:c>
      <x:c r="K78" s="33" t="str"/>
      <x:c r="L78" s="33" t="str">
        <x:v>Ferme</x:v>
      </x:c>
      <x:c r="M78" s="33" t="str">
        <x:v>(93) Seine-Saint-Denis</x:v>
      </x:c>
      <x:c r="N78" s="33" t="str">
        <x:v>Oui</x:v>
      </x:c>
      <x:c r="O78" s="33" t="str">
        <x:v>data.gouv.fr_aife</x:v>
      </x:c>
      <x:c r="P78" s="33" t="str">
        <x:v>20182019S0737000</x:v>
      </x:c>
    </x:row>
    <x:row r="79">
      <x:c r="A79" s="33" t="str">
        <x:v>20182020F1214900</x:v>
      </x:c>
      <x:c r="B79" s="33" t="str">
        <x:v>MINARM / SSA / DAPSA - Direction des Approvisionnements en produits de santé des armées</x:v>
      </x:c>
      <x:c r="C79" s="33" t="str">
        <x:v>BOSTON SCIENTIFIC</x:v>
      </x:c>
      <x:c r="D79" s="33" t="str">
        <x:v>Fourniture de dispositifs médicaux d’ ORL, Stomatologie, Implantologie et Neurochirurgie.</x:v>
      </x:c>
      <x:c r="E79" s="33" t="str">
        <x:v>Matériels médicaux, pharmaceutiques et produits de soins personnnels.</x:v>
      </x:c>
      <x:c r="F79" s="36" t="n">
        <x:v>4543221</x:v>
      </x:c>
      <x:c r="G79" s="38" t="n">
        <x:v>43250</x:v>
      </x:c>
      <x:c r="H79" s="38" t="n">
        <x:v>43250</x:v>
      </x:c>
      <x:c r="I79" s="40" t="n">
        <x:v>48</x:v>
      </x:c>
      <x:c r="J79" s="33" t="str">
        <x:v>Accord-cadre</x:v>
      </x:c>
      <x:c r="K79" s="33" t="str">
        <x:v>Appel d'offres ouvert</x:v>
      </x:c>
      <x:c r="L79" s="33" t="str"/>
      <x:c r="M79" s="33" t="str">
        <x:v>(45) Loiret</x:v>
      </x:c>
      <x:c r="N79" s="33" t="str">
        <x:v>Oui</x:v>
      </x:c>
      <x:c r="O79" s="33" t="str">
        <x:v>data.gouv.fr_aife</x:v>
      </x:c>
      <x:c r="P79" s="33" t="str">
        <x:v>20182020F1214900</x:v>
      </x:c>
    </x:row>
    <x:row r="80">
      <x:c r="A80" s="33" t="str">
        <x:v>2018150874446700</x:v>
      </x:c>
      <x:c r="B80" s="33" t="str">
        <x:v>MINARM / SGA / SID / ESID Rennes - Etablissement du service d'infrastructure de la défense de Rennes - ESID Rennes</x:v>
      </x:c>
      <x:c r="C80" s="33" t="str">
        <x:v>ANTEA FRANCE</x:v>
      </x:c>
      <x:c r="D80" s="33" t="str">
        <x:v>Arsenal de Cherbourg (50) - Construction d'un bararge flottant à l'entré du port - Mission géotechnique d'exécution G4</x:v>
      </x:c>
      <x:c r="E80" s="33" t="str">
        <x:v>Services d'ingénierie.</x:v>
      </x:c>
      <x:c r="F80" s="36" t="n">
        <x:v>8400</x:v>
      </x:c>
      <x:c r="G80" s="38" t="n">
        <x:v>43251</x:v>
      </x:c>
      <x:c r="H80" s="38" t="n">
        <x:v>43251</x:v>
      </x:c>
      <x:c r="I80" s="40" t="n">
        <x:v>24</x:v>
      </x:c>
      <x:c r="J80" s="33" t="str"/>
      <x:c r="K80" s="33" t="str"/>
      <x:c r="L80" s="33" t="str"/>
      <x:c r="M80" s="33" t="str">
        <x:v>(35) Ille-et-Vilaine</x:v>
      </x:c>
      <x:c r="N80" s="33" t="str">
        <x:v>Oui</x:v>
      </x:c>
      <x:c r="O80" s="33" t="str">
        <x:v>data.gouv.fr_aife</x:v>
      </x:c>
      <x:c r="P80" s="33" t="str">
        <x:v>2018150874446700</x:v>
      </x:c>
    </x:row>
    <x:row r="81">
      <x:c r="A81" s="33" t="str">
        <x:v>20182018S8004600</x:v>
      </x:c>
      <x:c r="B81" s="33" t="str">
        <x:v>MINARM / ESTM / EPA / SHOM - Service hydrographique et océanographique de la Marine</x:v>
      </x:c>
      <x:c r="C81" s="33" t="str">
        <x:v>INSTITUT NATIONAL DE L'INFORMATION GEOGRAPHIQUE ET FORESTIERE</x:v>
      </x:c>
      <x:c r="D81" s="33" t="str">
        <x:v>Prestation de soutien à la normalisation</x:v>
      </x:c>
      <x:c r="E81" s="33" t="str">
        <x:v>Services de conseil en recherche.</x:v>
      </x:c>
      <x:c r="F81" s="36" t="n">
        <x:v>110000</x:v>
      </x:c>
      <x:c r="G81" s="38" t="n">
        <x:v>43258</x:v>
      </x:c>
      <x:c r="H81" s="38" t="n">
        <x:v>43258</x:v>
      </x:c>
      <x:c r="I81" s="40" t="n">
        <x:v>60</x:v>
      </x:c>
      <x:c r="J81" s="33" t="str">
        <x:v>Marché</x:v>
      </x:c>
      <x:c r="K81" s="33" t="str">
        <x:v>Appel d'offres ouvert</x:v>
      </x:c>
      <x:c r="L81" s="33" t="str">
        <x:v>Ferme</x:v>
      </x:c>
      <x:c r="M81" s="33" t="str">
        <x:v>(29) Finistère</x:v>
      </x:c>
      <x:c r="N81" s="33" t="str">
        <x:v>Oui</x:v>
      </x:c>
      <x:c r="O81" s="33" t="str">
        <x:v>data.gouv.fr_aife</x:v>
      </x:c>
      <x:c r="P81" s="33" t="str">
        <x:v>20182018S8004600</x:v>
      </x:c>
    </x:row>
    <x:row r="82">
      <x:c r="A82" s="33" t="str">
        <x:v>2018130014512700</x:v>
      </x:c>
      <x:c r="B82" s="33" t="str">
        <x:v>MINARM / SSA / DAPSA - Direction des Approvisionnements en produits de santé des armées</x:v>
      </x:c>
      <x:c r="C82" s="33" t="str">
        <x:v>MEDTRONIC FRANCE</x:v>
      </x:c>
      <x:c r="D82" s="33" t="str">
        <x:v>Fourniture de dispositifs médicaux stériles (DMS) non substituables / en monopole 2 (RESAH MNDM2 2018-071) MEDTRONIC</x:v>
      </x:c>
      <x:c r="E82" s="33" t="str">
        <x:v>Matériels médicaux, pharmaceutiques et produits de soins personnnels.</x:v>
      </x:c>
      <x:c r="F82" s="36" t="n">
        <x:v>346740</x:v>
      </x:c>
      <x:c r="G82" s="38" t="n">
        <x:v>43264</x:v>
      </x:c>
      <x:c r="H82" s="38" t="n">
        <x:v>43264</x:v>
      </x:c>
      <x:c r="I82" s="40" t="n">
        <x:v>40</x:v>
      </x:c>
      <x:c r="J82" s="33" t="str">
        <x:v>Accord-cadre</x:v>
      </x:c>
      <x:c r="K82" s="33" t="str"/>
      <x:c r="L82" s="33" t="str">
        <x:v>Révisable</x:v>
      </x:c>
      <x:c r="M82" s="33" t="str">
        <x:v>(94) Val-de-Marne</x:v>
      </x:c>
      <x:c r="N82" s="33" t="str">
        <x:v>Oui</x:v>
      </x:c>
      <x:c r="O82" s="33" t="str">
        <x:v>data.gouv.fr_aife</x:v>
      </x:c>
      <x:c r="P82" s="33" t="str">
        <x:v>2018130014512700</x:v>
      </x:c>
    </x:row>
    <x:row r="83">
      <x:c r="A83" s="33" t="str">
        <x:v>2018170008737400</x:v>
      </x:c>
      <x:c r="B83" s="33" t="str">
        <x:v>MINARM / SCA / PFAT - Plate-forme affrètement et transport</x:v>
      </x:c>
      <x:c r="C83" s="33" t="str">
        <x:v>EXPLOITATION FORESTIERE SCIERIE VIGEON FRERES</x:v>
      </x:c>
      <x:c r="D83" s="33" t="str">
        <x:v>Acquisition de matériels de calage en bois nécessaires au chargement et à l'arrimage des matériels et des véhicules des armées pour leurs transports ferroviaires.</x:v>
      </x:c>
      <x:c r="E83" s="33" t="str">
        <x:v>Équipement ferroviaire.</x:v>
      </x:c>
      <x:c r="F83" s="36" t="n">
        <x:v>20750</x:v>
      </x:c>
      <x:c r="G83" s="38" t="n">
        <x:v>43265</x:v>
      </x:c>
      <x:c r="H83" s="38" t="n">
        <x:v>43265</x:v>
      </x:c>
      <x:c r="I83" s="40" t="n">
        <x:v>2</x:v>
      </x:c>
      <x:c r="J83" s="33" t="str"/>
      <x:c r="K83" s="33" t="str"/>
      <x:c r="L83" s="33" t="str"/>
      <x:c r="M83" s="33" t="str">
        <x:v>(78) Yvelines</x:v>
      </x:c>
      <x:c r="N83" s="33" t="str">
        <x:v>Oui</x:v>
      </x:c>
      <x:c r="O83" s="33" t="str">
        <x:v>data.gouv.fr_aife</x:v>
      </x:c>
      <x:c r="P83" s="33" t="str">
        <x:v>2018170008737400</x:v>
      </x:c>
    </x:row>
    <x:row r="84">
      <x:c r="A84" s="33" t="str">
        <x:v>2018100012766900</x:v>
      </x:c>
      <x:c r="B84" s="33" t="str">
        <x:v>MINARM / SGA / SID / ESID IDF - Etablissement du Service d'infrastructure de la défense d'Ile de France - ESID Ile de France</x:v>
      </x:c>
      <x:c r="C84" s="33" t="str">
        <x:v>JFM CONSEILS SAS</x:v>
      </x:c>
      <x:c r="D84" s="33" t="str">
        <x:v>Le présent marché, régi par le présent CCAP, est un marché ayant pour objet la réalisation de l'opération relative au diagnostic des réseaux incendie, AEP, EU, EP, du camp de SATORY (78). - Diagnostics des réseaux Eau Potable</x:v>
      </x:c>
      <x:c r="E84" s="33" t="str">
        <x:v>Services d'architecture , services de construction, services d'ingénierie et services d'inspection.</x:v>
      </x:c>
      <x:c r="F84" s="36" t="n">
        <x:v>139850</x:v>
      </x:c>
      <x:c r="G84" s="38" t="n">
        <x:v>43269</x:v>
      </x:c>
      <x:c r="H84" s="38" t="n">
        <x:v>43269</x:v>
      </x:c>
      <x:c r="I84" s="40" t="n">
        <x:v>7</x:v>
      </x:c>
      <x:c r="J84" s="33" t="str"/>
      <x:c r="K84" s="33" t="str"/>
      <x:c r="L84" s="33" t="str"/>
      <x:c r="M84" s="33" t="str">
        <x:v>(78) Yvelines</x:v>
      </x:c>
      <x:c r="N84" s="33" t="str">
        <x:v>Oui</x:v>
      </x:c>
      <x:c r="O84" s="33" t="str">
        <x:v>data.gouv.fr_aife</x:v>
      </x:c>
      <x:c r="P84" s="33" t="str">
        <x:v>2018100012766900</x:v>
      </x:c>
    </x:row>
    <x:row r="85">
      <x:c r="A85" s="33" t="str">
        <x:v>20182020F1214700</x:v>
      </x:c>
      <x:c r="B85" s="33" t="str">
        <x:v>MINARM / SSA / DAPSA - Direction des Approvisionnements en produits de santé des armées</x:v>
      </x:c>
      <x:c r="C85" s="33" t="str">
        <x:v>atos</x:v>
      </x:c>
      <x:c r="D85" s="33" t="str">
        <x:v>Fourniture de dispositifs médicaux d’ ORL, Stomatologie, Implantologie et Neurochirurgie.</x:v>
      </x:c>
      <x:c r="E85" s="33" t="str">
        <x:v>Matériels médicaux, pharmaceutiques et produits de soins personnnels.</x:v>
      </x:c>
      <x:c r="F85" s="36" t="n">
        <x:v>4543221</x:v>
      </x:c>
      <x:c r="G85" s="38" t="n">
        <x:v>43270</x:v>
      </x:c>
      <x:c r="H85" s="38" t="n">
        <x:v>43270</x:v>
      </x:c>
      <x:c r="I85" s="40" t="n">
        <x:v>48</x:v>
      </x:c>
      <x:c r="J85" s="33" t="str">
        <x:v>Accord-cadre</x:v>
      </x:c>
      <x:c r="K85" s="33" t="str">
        <x:v>Appel d'offres ouvert</x:v>
      </x:c>
      <x:c r="L85" s="33" t="str"/>
      <x:c r="M85" s="33" t="str">
        <x:v>(45) Loiret</x:v>
      </x:c>
      <x:c r="N85" s="33" t="str">
        <x:v>Oui</x:v>
      </x:c>
      <x:c r="O85" s="33" t="str">
        <x:v>data.gouv.fr_aife</x:v>
      </x:c>
      <x:c r="P85" s="33" t="str">
        <x:v>20182020F1214700</x:v>
      </x:c>
    </x:row>
    <x:row r="86">
      <x:c r="A86" s="33" t="str">
        <x:v>2018130013556100</x:v>
      </x:c>
      <x:c r="B86" s="33" t="str">
        <x:v>MINARM / SGA / SID / ESID Rennes - Etablissement du service d'infrastructure de la défense de Rennes - ESID Rennes</x:v>
      </x:c>
      <x:c r="C86" s="33" t="str">
        <x:v>INOVADIA</x:v>
      </x:c>
      <x:c r="D86" s="33" t="str">
        <x:v>NOUATRE (37) - 14èBSMAT - Pollution par hydrocarbures - Prestations de services relatives aux sites et sols pollués.</x:v>
      </x:c>
      <x:c r="E86" s="33" t="str">
        <x:v>Etudes de faisabilité, service de conseil , analyse.</x:v>
      </x:c>
      <x:c r="F86" s="36" t="n">
        <x:v>29850</x:v>
      </x:c>
      <x:c r="G86" s="38" t="n">
        <x:v>43279</x:v>
      </x:c>
      <x:c r="H86" s="38" t="n">
        <x:v>43279</x:v>
      </x:c>
      <x:c r="I86" s="40" t="n">
        <x:v>36</x:v>
      </x:c>
      <x:c r="J86" s="33" t="str"/>
      <x:c r="K86" s="33" t="str"/>
      <x:c r="L86" s="33" t="str"/>
      <x:c r="M86" s="33" t="str">
        <x:v>(35) Ille-et-Vilaine</x:v>
      </x:c>
      <x:c r="N86" s="33" t="str">
        <x:v>Oui</x:v>
      </x:c>
      <x:c r="O86" s="33" t="str">
        <x:v>data.gouv.fr_aife</x:v>
      </x:c>
      <x:c r="P86" s="33" t="str">
        <x:v>2018130013556100</x:v>
      </x:c>
    </x:row>
    <x:row r="87">
      <x:c r="A87" s="33" t="str">
        <x:v>2018120005040000</x:v>
      </x:c>
      <x:c r="B87" s="33" t="str">
        <x:v>MINARM / SGA / SID / ESID Metz - Etablissement du service d'infrastructure de la défense de Metz - ESID Metz</x:v>
      </x:c>
      <x:c r="C87" s="33" t="str">
        <x:v>LORR'ELEC</x:v>
      </x:c>
      <x:c r="D87" s="33" t="str">
        <x:v>MEUSE (55) Base de défense de VERDUN - Maintien en conditions opérationnelles des caméras, des alarmes incendie et anti-intrusion - ainsi que leurs asservissements - Marché sensible -</x:v>
      </x:c>
      <x:c r="E87" s="33" t="str">
        <x:v>Avertisseurs d'effraction et d'incendie.</x:v>
      </x:c>
      <x:c r="F87" s="36" t="n">
        <x:v>480345</x:v>
      </x:c>
      <x:c r="G87" s="38" t="n">
        <x:v>43285</x:v>
      </x:c>
      <x:c r="H87" s="38" t="n">
        <x:v>43285</x:v>
      </x:c>
      <x:c r="I87" s="40" t="n">
        <x:v>48</x:v>
      </x:c>
      <x:c r="J87" s="33" t="str"/>
      <x:c r="K87" s="33" t="str"/>
      <x:c r="L87" s="33" t="str"/>
      <x:c r="M87" s="33" t="str">
        <x:v>(57) Moselle</x:v>
      </x:c>
      <x:c r="N87" s="33" t="str">
        <x:v>Oui</x:v>
      </x:c>
      <x:c r="O87" s="33" t="str">
        <x:v>data.gouv.fr_aife</x:v>
      </x:c>
      <x:c r="P87" s="33" t="str">
        <x:v>2018120005040000</x:v>
      </x:c>
    </x:row>
    <x:row r="88">
      <x:c r="A88" s="33" t="str">
        <x:v>2018150884400300</x:v>
      </x:c>
      <x:c r="B88" s="33" t="str">
        <x:v>MINARM / SGA / SID / ESID Rennes - Etablissement du service d'infrastructure de la défense de Rennes - ESID Rennes</x:v>
      </x:c>
      <x:c r="C88" s="33" t="str">
        <x:v>ENTR TRAVAUX PUBLICS DE L OUEST</x:v>
      </x:c>
      <x:c r="D88" s="33" t="str">
        <x:v>ANGERS (49) - EBLE et BERTHEZENE Travaux d'adaptation de locaux existants pour l'installation de simulation</x:v>
      </x:c>
      <x:c r="E88" s="33" t="str">
        <x:v>Travaux d'équipement du bâtiment.</x:v>
      </x:c>
      <x:c r="F88" s="36" t="n">
        <x:v>174480</x:v>
      </x:c>
      <x:c r="G88" s="38" t="n">
        <x:v>43286</x:v>
      </x:c>
      <x:c r="H88" s="38" t="n">
        <x:v>43286</x:v>
      </x:c>
      <x:c r="I88" s="40" t="n">
        <x:v>5</x:v>
      </x:c>
      <x:c r="J88" s="33" t="str"/>
      <x:c r="K88" s="33" t="str"/>
      <x:c r="L88" s="33" t="str"/>
      <x:c r="M88" s="33" t="str">
        <x:v>(35) Ille-et-Vilaine</x:v>
      </x:c>
      <x:c r="N88" s="33" t="str">
        <x:v>Oui</x:v>
      </x:c>
      <x:c r="O88" s="33" t="str">
        <x:v>data.gouv.fr_aife</x:v>
      </x:c>
      <x:c r="P88" s="33" t="str">
        <x:v>2018150884400300</x:v>
      </x:c>
    </x:row>
    <x:row r="89">
      <x:c r="A89" s="33" t="str">
        <x:v>20182018S3302100</x:v>
      </x:c>
      <x:c r="B89" s="33" t="str">
        <x:v>MINARM / DGA / DO / S2A / PROD / DA-BA - Division achats - Toulouse/Balma</x:v>
      </x:c>
      <x:c r="C89" s="33" t="str">
        <x:v>GROUPE D 'ETUDE ET DE RECHERCHE APPLIQUEE A LA COMPTABILITE</x:v>
      </x:c>
      <x:c r="D89" s="33" t="str">
        <x:v>Maintien en conditions opérationnelles d’amplificateurs CEM</x:v>
      </x:c>
      <x:c r="E89" s="33" t="str">
        <x:v>Services de réparation et d'entretien de systèmes d'arme.</x:v>
      </x:c>
      <x:c r="F89" s="36" t="n">
        <x:v>3166666</x:v>
      </x:c>
      <x:c r="G89" s="38" t="n">
        <x:v>43287</x:v>
      </x:c>
      <x:c r="H89" s="38" t="n">
        <x:v>43287</x:v>
      </x:c>
      <x:c r="I89" s="40" t="n">
        <x:v>60</x:v>
      </x:c>
      <x:c r="J89" s="33" t="str">
        <x:v>Accord-cadre</x:v>
      </x:c>
      <x:c r="K89" s="33" t="str"/>
      <x:c r="L89" s="33" t="str">
        <x:v>Révisable</x:v>
      </x:c>
      <x:c r="M89" s="33" t="str">
        <x:v>(31) Haute-Garonne</x:v>
      </x:c>
      <x:c r="N89" s="33" t="str">
        <x:v>Oui</x:v>
      </x:c>
      <x:c r="O89" s="33" t="str">
        <x:v>data.gouv.fr_aife</x:v>
      </x:c>
      <x:c r="P89" s="33" t="str">
        <x:v>20182018S3302100</x:v>
      </x:c>
    </x:row>
    <x:row r="90">
      <x:c r="A90" s="33" t="str">
        <x:v>20182020F1217200</x:v>
      </x:c>
      <x:c r="B90" s="33" t="str">
        <x:v>MINARM / SSA / DAPSA - Direction des Approvisionnements en produits de santé des armées</x:v>
      </x:c>
      <x:c r="C90" s="33" t="str">
        <x:v>POURET MEDICAL</x:v>
      </x:c>
      <x:c r="D90" s="33" t="str">
        <x:v>Fourniture de dispositifs médicaux d’ ORL, Stomatologie, Implantologie et Neurochirurgie.</x:v>
      </x:c>
      <x:c r="E90" s="33" t="str">
        <x:v>Matériels médicaux, pharmaceutiques et produits de soins personnnels.</x:v>
      </x:c>
      <x:c r="F90" s="36" t="n">
        <x:v>4543221</x:v>
      </x:c>
      <x:c r="G90" s="38" t="n">
        <x:v>43293</x:v>
      </x:c>
      <x:c r="H90" s="38" t="n">
        <x:v>43293</x:v>
      </x:c>
      <x:c r="I90" s="40" t="n">
        <x:v>48</x:v>
      </x:c>
      <x:c r="J90" s="33" t="str">
        <x:v>Accord-cadre</x:v>
      </x:c>
      <x:c r="K90" s="33" t="str">
        <x:v>Appel d'offres ouvert</x:v>
      </x:c>
      <x:c r="L90" s="33" t="str"/>
      <x:c r="M90" s="33" t="str">
        <x:v>(45) Loiret</x:v>
      </x:c>
      <x:c r="N90" s="33" t="str">
        <x:v>Oui</x:v>
      </x:c>
      <x:c r="O90" s="33" t="str">
        <x:v>data.gouv.fr_aife</x:v>
      </x:c>
      <x:c r="P90" s="33" t="str">
        <x:v>20182020F1217200</x:v>
      </x:c>
    </x:row>
    <x:row r="91">
      <x:c r="A91" s="33" t="str">
        <x:v>20182020F1216800</x:v>
      </x:c>
      <x:c r="B91" s="33" t="str">
        <x:v>MINARM / SSA / DAPSA - Direction des Approvisionnements en produits de santé des armées</x:v>
      </x:c>
      <x:c r="C91" s="33" t="str">
        <x:v>NOBEL BIOCARE FRANCE</x:v>
      </x:c>
      <x:c r="D91" s="33" t="str">
        <x:v>Fourniture de dispositifs médicaux d’ ORL, Stomatologie, Implantologie et Neurochirurgie.</x:v>
      </x:c>
      <x:c r="E91" s="33" t="str">
        <x:v>Matériels médicaux, pharmaceutiques et produits de soins personnnels.</x:v>
      </x:c>
      <x:c r="F91" s="36" t="n">
        <x:v>4543221</x:v>
      </x:c>
      <x:c r="G91" s="38" t="n">
        <x:v>43294</x:v>
      </x:c>
      <x:c r="H91" s="38" t="n">
        <x:v>43294</x:v>
      </x:c>
      <x:c r="I91" s="40" t="n">
        <x:v>48</x:v>
      </x:c>
      <x:c r="J91" s="33" t="str">
        <x:v>Accord-cadre</x:v>
      </x:c>
      <x:c r="K91" s="33" t="str">
        <x:v>Appel d'offres ouvert</x:v>
      </x:c>
      <x:c r="L91" s="33" t="str"/>
      <x:c r="M91" s="33" t="str">
        <x:v>(45) Loiret</x:v>
      </x:c>
      <x:c r="N91" s="33" t="str">
        <x:v>Oui</x:v>
      </x:c>
      <x:c r="O91" s="33" t="str">
        <x:v>data.gouv.fr_aife</x:v>
      </x:c>
      <x:c r="P91" s="33" t="str">
        <x:v>20182020F1216800</x:v>
      </x:c>
    </x:row>
    <x:row r="92">
      <x:c r="A92" s="33" t="str">
        <x:v>20182020F0300800</x:v>
      </x:c>
      <x:c r="B92" s="33" t="str">
        <x:v>MINARM / SCA / PFC RBT - Plate-forme commissariat Rambouillet</x:v>
      </x:c>
      <x:c r="C92" s="33" t="str">
        <x:v>BONNETERIE D'ARMOR</x:v>
      </x:c>
      <x:c r="D92" s="33" t="str">
        <x:v>Fabrication de polos de service courant manches courtes et manches longues Marine nationale et lycée naval</x:v>
      </x:c>
      <x:c r="E92" s="33" t="str">
        <x:v>Chemises polo.</x:v>
      </x:c>
      <x:c r="F92" s="36" t="n">
        <x:v>24000000</x:v>
      </x:c>
      <x:c r="G92" s="38" t="n">
        <x:v>43297</x:v>
      </x:c>
      <x:c r="H92" s="38" t="n">
        <x:v>43297</x:v>
      </x:c>
      <x:c r="I92" s="40" t="n">
        <x:v>48</x:v>
      </x:c>
      <x:c r="J92" s="33" t="str">
        <x:v>Accord-cadre</x:v>
      </x:c>
      <x:c r="K92" s="33" t="str">
        <x:v>Appel d'offres ouvert</x:v>
      </x:c>
      <x:c r="L92" s="33" t="str"/>
      <x:c r="M92" s="33" t="str">
        <x:v>(78) Yvelines</x:v>
      </x:c>
      <x:c r="N92" s="33" t="str">
        <x:v>Oui</x:v>
      </x:c>
      <x:c r="O92" s="33" t="str">
        <x:v>data.gouv.fr_aife</x:v>
      </x:c>
      <x:c r="P92" s="33" t="str">
        <x:v>20182020F0300800</x:v>
      </x:c>
    </x:row>
    <x:row r="93">
      <x:c r="A93" s="33" t="str">
        <x:v>20182020F0300900</x:v>
      </x:c>
      <x:c r="B93" s="33" t="str">
        <x:v>MINARM / SCA / PFC RBT - Plate-forme commissariat Rambouillet</x:v>
      </x:c>
      <x:c r="C93" s="33" t="str">
        <x:v>EMINENCE</x:v>
      </x:c>
      <x:c r="D93" s="33" t="str">
        <x:v>Fabrication de polos de service courant manches courtes et manches longues Marine nationale et lycée naval</x:v>
      </x:c>
      <x:c r="E93" s="33" t="str">
        <x:v>Chemises polo.</x:v>
      </x:c>
      <x:c r="F93" s="36" t="n">
        <x:v>24000000</x:v>
      </x:c>
      <x:c r="G93" s="38" t="n">
        <x:v>43297</x:v>
      </x:c>
      <x:c r="H93" s="38" t="n">
        <x:v>43297</x:v>
      </x:c>
      <x:c r="I93" s="40" t="n">
        <x:v>48</x:v>
      </x:c>
      <x:c r="J93" s="33" t="str">
        <x:v>Accord-cadre</x:v>
      </x:c>
      <x:c r="K93" s="33" t="str">
        <x:v>Appel d'offres ouvert</x:v>
      </x:c>
      <x:c r="L93" s="33" t="str"/>
      <x:c r="M93" s="33" t="str">
        <x:v>(78) Yvelines</x:v>
      </x:c>
      <x:c r="N93" s="33" t="str">
        <x:v>Oui</x:v>
      </x:c>
      <x:c r="O93" s="33" t="str">
        <x:v>data.gouv.fr_aife</x:v>
      </x:c>
      <x:c r="P93" s="33" t="str">
        <x:v>20182020F0300900</x:v>
      </x:c>
    </x:row>
    <x:row r="94">
      <x:c r="A94" s="33" t="str">
        <x:v>20182020F0301000</x:v>
      </x:c>
      <x:c r="B94" s="33" t="str">
        <x:v>MINARM / SCA / PFC RBT - Plate-forme commissariat Rambouillet</x:v>
      </x:c>
      <x:c r="C94" s="33" t="str">
        <x:v>biotex technologie</x:v>
      </x:c>
      <x:c r="D94" s="33" t="str">
        <x:v>Fabrication de polos de service courant manches courtes et manches longues Marine nationale et lycée naval</x:v>
      </x:c>
      <x:c r="E94" s="33" t="str">
        <x:v>Chemises polo.</x:v>
      </x:c>
      <x:c r="F94" s="36" t="n">
        <x:v>24000000</x:v>
      </x:c>
      <x:c r="G94" s="38" t="n">
        <x:v>43297</x:v>
      </x:c>
      <x:c r="H94" s="38" t="n">
        <x:v>43297</x:v>
      </x:c>
      <x:c r="I94" s="40" t="n">
        <x:v>48</x:v>
      </x:c>
      <x:c r="J94" s="33" t="str">
        <x:v>Accord-cadre</x:v>
      </x:c>
      <x:c r="K94" s="33" t="str">
        <x:v>Appel d'offres ouvert</x:v>
      </x:c>
      <x:c r="L94" s="33" t="str"/>
      <x:c r="M94" s="33" t="str">
        <x:v>(78) Yvelines</x:v>
      </x:c>
      <x:c r="N94" s="33" t="str">
        <x:v>Oui</x:v>
      </x:c>
      <x:c r="O94" s="33" t="str">
        <x:v>data.gouv.fr_aife</x:v>
      </x:c>
      <x:c r="P94" s="33" t="str">
        <x:v>20182020F0301000</x:v>
      </x:c>
    </x:row>
    <x:row r="95">
      <x:c r="A95" s="33" t="str">
        <x:v>2018150881661700</x:v>
      </x:c>
      <x:c r="B95" s="33" t="str">
        <x:v>MINARM / SGA / SID / ESID Rennes - Etablissement du service d'infrastructure de la défense de Rennes - ESID Rennes</x:v>
      </x:c>
      <x:c r="C95" s="33" t="str">
        <x:v>A3M INDUSTRIE</x:v>
      </x:c>
      <x:c r="D95" s="33" t="str">
        <x:v>FECAMP (76) Sémaphore de Fécamp - Remplacement de 3 câbles de haubanage et reprise des ancrages</x:v>
      </x:c>
      <x:c r="E95" s="33" t="str">
        <x:v>Services d'installation de mâts porte-drapeau .</x:v>
      </x:c>
      <x:c r="F95" s="36" t="n">
        <x:v>89490</x:v>
      </x:c>
      <x:c r="G95" s="38" t="n">
        <x:v>43299</x:v>
      </x:c>
      <x:c r="H95" s="38" t="n">
        <x:v>43299</x:v>
      </x:c>
      <x:c r="I95" s="40" t="n">
        <x:v>5</x:v>
      </x:c>
      <x:c r="J95" s="33" t="str"/>
      <x:c r="K95" s="33" t="str"/>
      <x:c r="L95" s="33" t="str"/>
      <x:c r="M95" s="33" t="str">
        <x:v>(35) Ille-et-Vilaine</x:v>
      </x:c>
      <x:c r="N95" s="33" t="str">
        <x:v>Oui</x:v>
      </x:c>
      <x:c r="O95" s="33" t="str">
        <x:v>data.gouv.fr_aife</x:v>
      </x:c>
      <x:c r="P95" s="33" t="str">
        <x:v>2018150881661700</x:v>
      </x:c>
    </x:row>
    <x:row r="96">
      <x:c r="A96" s="33" t="str">
        <x:v>20182020F1881900</x:v>
      </x:c>
      <x:c r="B96" s="33" t="str">
        <x:v>MINARM / SCA / PFC RBT - Plate-forme commissariat Rambouillet</x:v>
      </x:c>
      <x:c r="C96" s="33" t="str">
        <x:v>Transconfection</x:v>
      </x:c>
      <x:c r="D96" s="33" t="str">
        <x:v>Fabrication d'ensemble contre les intempéries: - Lot 3 : Blousons fourrure polaire.</x:v>
      </x:c>
      <x:c r="E96" s="33" t="str">
        <x:v>Tenues de combat.</x:v>
      </x:c>
      <x:c r="F96" s="36" t="n">
        <x:v>7544000</x:v>
      </x:c>
      <x:c r="G96" s="38" t="n">
        <x:v>43306</x:v>
      </x:c>
      <x:c r="H96" s="38" t="n">
        <x:v>43306</x:v>
      </x:c>
      <x:c r="I96" s="40" t="n">
        <x:v>84</x:v>
      </x:c>
      <x:c r="J96" s="33" t="str">
        <x:v>Accord-cadre</x:v>
      </x:c>
      <x:c r="K96" s="33" t="str">
        <x:v>Appel d'offres restreint</x:v>
      </x:c>
      <x:c r="L96" s="33" t="str"/>
      <x:c r="M96" s="33" t="str">
        <x:v>(78) Yvelines</x:v>
      </x:c>
      <x:c r="N96" s="33" t="str">
        <x:v>Oui</x:v>
      </x:c>
      <x:c r="O96" s="33" t="str">
        <x:v>data.gouv.fr_aife</x:v>
      </x:c>
      <x:c r="P96" s="33" t="str">
        <x:v>20182020F1881900</x:v>
      </x:c>
    </x:row>
    <x:row r="97">
      <x:c r="A97" s="33" t="str">
        <x:v>20182020F1881700</x:v>
      </x:c>
      <x:c r="B97" s="33" t="str">
        <x:v>MINARM / SCA / PFC RBT - Plate-forme commissariat Rambouillet</x:v>
      </x:c>
      <x:c r="C97" s="33" t="str">
        <x:v>CEPOVETT</x:v>
      </x:c>
      <x:c r="D97" s="33" t="str">
        <x:v>Fabrication d'ensemble contre les intempéries: - Lot 3 : Blousons fourrure polaire.</x:v>
      </x:c>
      <x:c r="E97" s="33" t="str">
        <x:v>Tenues de combat.</x:v>
      </x:c>
      <x:c r="F97" s="36" t="n">
        <x:v>7544000</x:v>
      </x:c>
      <x:c r="G97" s="38" t="n">
        <x:v>43306</x:v>
      </x:c>
      <x:c r="H97" s="38" t="n">
        <x:v>43306</x:v>
      </x:c>
      <x:c r="I97" s="40" t="n">
        <x:v>84</x:v>
      </x:c>
      <x:c r="J97" s="33" t="str">
        <x:v>Accord-cadre</x:v>
      </x:c>
      <x:c r="K97" s="33" t="str">
        <x:v>Appel d'offres restreint</x:v>
      </x:c>
      <x:c r="L97" s="33" t="str"/>
      <x:c r="M97" s="33" t="str">
        <x:v>(78) Yvelines</x:v>
      </x:c>
      <x:c r="N97" s="33" t="str">
        <x:v>Oui</x:v>
      </x:c>
      <x:c r="O97" s="33" t="str">
        <x:v>data.gouv.fr_aife</x:v>
      </x:c>
      <x:c r="P97" s="33" t="str">
        <x:v>20182020F1881700</x:v>
      </x:c>
    </x:row>
    <x:row r="98">
      <x:c r="A98" s="33" t="str">
        <x:v>20182020F1883100</x:v>
      </x:c>
      <x:c r="B98" s="33" t="str">
        <x:v>MINARM / SCA / PFC RBT - Plate-forme commissariat Rambouillet</x:v>
      </x:c>
      <x:c r="C98" s="33" t="str">
        <x:v>WINTEX</x:v>
      </x:c>
      <x:c r="D98" s="33" t="str">
        <x:v>Fabrication d'ensemble contre les intempéries: - Lot 1 : Parkas F2</x:v>
      </x:c>
      <x:c r="E98" s="33" t="str">
        <x:v>Tenues de combat.</x:v>
      </x:c>
      <x:c r="F98" s="36" t="n">
        <x:v>25968000</x:v>
      </x:c>
      <x:c r="G98" s="38" t="n">
        <x:v>43306</x:v>
      </x:c>
      <x:c r="H98" s="38" t="n">
        <x:v>43306</x:v>
      </x:c>
      <x:c r="I98" s="40" t="n">
        <x:v>84</x:v>
      </x:c>
      <x:c r="J98" s="33" t="str">
        <x:v>Accord-cadre</x:v>
      </x:c>
      <x:c r="K98" s="33" t="str">
        <x:v>Appel d'offres restreint</x:v>
      </x:c>
      <x:c r="L98" s="33" t="str"/>
      <x:c r="M98" s="33" t="str">
        <x:v>(78) Yvelines</x:v>
      </x:c>
      <x:c r="N98" s="33" t="str">
        <x:v>Oui</x:v>
      </x:c>
      <x:c r="O98" s="33" t="str">
        <x:v>data.gouv.fr_aife</x:v>
      </x:c>
      <x:c r="P98" s="33" t="str">
        <x:v>20182020F1883100</x:v>
      </x:c>
    </x:row>
    <x:row r="99">
      <x:c r="A99" s="33" t="str">
        <x:v>20182020F1893800</x:v>
      </x:c>
      <x:c r="B99" s="33" t="str">
        <x:v>MINARM / SCA / PFC RBT - Plate-forme commissariat Rambouillet</x:v>
      </x:c>
      <x:c r="C99" s="33" t="str">
        <x:v>PAUL BOYE TECHNOLOGIES</x:v>
      </x:c>
      <x:c r="D99" s="33" t="str">
        <x:v>Fabrication d'ensemble contre les intempéries : - Lot 2 : Surpantalon bariolés théâtre européen</x:v>
      </x:c>
      <x:c r="E99" s="33" t="str">
        <x:v>Tenues de combat.</x:v>
      </x:c>
      <x:c r="F99" s="36" t="n">
        <x:v>4958000</x:v>
      </x:c>
      <x:c r="G99" s="38" t="n">
        <x:v>43306</x:v>
      </x:c>
      <x:c r="H99" s="38" t="n">
        <x:v>43306</x:v>
      </x:c>
      <x:c r="I99" s="40" t="n">
        <x:v>84</x:v>
      </x:c>
      <x:c r="J99" s="33" t="str">
        <x:v>Accord-cadre</x:v>
      </x:c>
      <x:c r="K99" s="33" t="str">
        <x:v>Appel d'offres restreint</x:v>
      </x:c>
      <x:c r="L99" s="33" t="str"/>
      <x:c r="M99" s="33" t="str">
        <x:v>(78) Yvelines</x:v>
      </x:c>
      <x:c r="N99" s="33" t="str">
        <x:v>Oui</x:v>
      </x:c>
      <x:c r="O99" s="33" t="str">
        <x:v>data.gouv.fr_aife</x:v>
      </x:c>
      <x:c r="P99" s="33" t="str">
        <x:v>20182020F1893800</x:v>
      </x:c>
    </x:row>
    <x:row r="100">
      <x:c r="A100" s="33" t="str">
        <x:v>20182020F1882900</x:v>
      </x:c>
      <x:c r="B100" s="33" t="str">
        <x:v>MINARM / SCA / PFC RBT - Plate-forme commissariat Rambouillet</x:v>
      </x:c>
      <x:c r="C100" s="33" t="str">
        <x:v>PAUL BOYE TECHNOLOGIES</x:v>
      </x:c>
      <x:c r="D100" s="33" t="str">
        <x:v>Fabrication d'ensemble contre les intempéries: - Lot 1 : Parkas F2</x:v>
      </x:c>
      <x:c r="E100" s="33" t="str">
        <x:v>Tenues de combat.</x:v>
      </x:c>
      <x:c r="F100" s="36" t="n">
        <x:v>25968000</x:v>
      </x:c>
      <x:c r="G100" s="38" t="n">
        <x:v>43306</x:v>
      </x:c>
      <x:c r="H100" s="38" t="n">
        <x:v>43306</x:v>
      </x:c>
      <x:c r="I100" s="40" t="n">
        <x:v>84</x:v>
      </x:c>
      <x:c r="J100" s="33" t="str">
        <x:v>Accord-cadre</x:v>
      </x:c>
      <x:c r="K100" s="33" t="str">
        <x:v>Appel d'offres restreint</x:v>
      </x:c>
      <x:c r="L100" s="33" t="str"/>
      <x:c r="M100" s="33" t="str">
        <x:v>(78) Yvelines</x:v>
      </x:c>
      <x:c r="N100" s="33" t="str">
        <x:v>Oui</x:v>
      </x:c>
      <x:c r="O100" s="33" t="str">
        <x:v>data.gouv.fr_aife</x:v>
      </x:c>
      <x:c r="P100" s="33" t="str">
        <x:v>20182020F1882900</x:v>
      </x:c>
    </x:row>
    <x:row r="101">
      <x:c r="A101" s="33" t="str">
        <x:v>20182020F1894000</x:v>
      </x:c>
      <x:c r="B101" s="33" t="str">
        <x:v>MINARM / SCA / PFC RBT - Plate-forme commissariat Rambouillet</x:v>
      </x:c>
      <x:c r="C101" s="33" t="str">
        <x:v>WINTEX</x:v>
      </x:c>
      <x:c r="D101" s="33" t="str">
        <x:v>Fabrication d'ensemble contre les intempéries : - Lot 2 : Surpantalon bariolés théâtre européen</x:v>
      </x:c>
      <x:c r="E101" s="33" t="str">
        <x:v>Tenues de combat.</x:v>
      </x:c>
      <x:c r="F101" s="36" t="n">
        <x:v>4958000</x:v>
      </x:c>
      <x:c r="G101" s="38" t="n">
        <x:v>43306</x:v>
      </x:c>
      <x:c r="H101" s="38" t="n">
        <x:v>43306</x:v>
      </x:c>
      <x:c r="I101" s="40" t="n">
        <x:v>84</x:v>
      </x:c>
      <x:c r="J101" s="33" t="str">
        <x:v>Accord-cadre</x:v>
      </x:c>
      <x:c r="K101" s="33" t="str">
        <x:v>Appel d'offres restreint</x:v>
      </x:c>
      <x:c r="L101" s="33" t="str"/>
      <x:c r="M101" s="33" t="str">
        <x:v>(78) Yvelines</x:v>
      </x:c>
      <x:c r="N101" s="33" t="str">
        <x:v>Oui</x:v>
      </x:c>
      <x:c r="O101" s="33" t="str">
        <x:v>data.gouv.fr_aife</x:v>
      </x:c>
      <x:c r="P101" s="33" t="str">
        <x:v>20182020F1894000</x:v>
      </x:c>
    </x:row>
    <x:row r="102">
      <x:c r="A102" s="33" t="str">
        <x:v>20182020F1883000</x:v>
      </x:c>
      <x:c r="B102" s="33" t="str">
        <x:v>MINARM / SCA / PFC RBT - Plate-forme commissariat Rambouillet</x:v>
      </x:c>
      <x:c r="C102" s="33" t="str">
        <x:v>SEYNTEX</x:v>
      </x:c>
      <x:c r="D102" s="33" t="str">
        <x:v>Fabrication d'ensemble contre les intempéries: - Lot 1 : Parkas F2</x:v>
      </x:c>
      <x:c r="E102" s="33" t="str">
        <x:v>Tenues de combat.</x:v>
      </x:c>
      <x:c r="F102" s="36" t="n">
        <x:v>25968000</x:v>
      </x:c>
      <x:c r="G102" s="38" t="n">
        <x:v>43307</x:v>
      </x:c>
      <x:c r="H102" s="38" t="n">
        <x:v>43307</x:v>
      </x:c>
      <x:c r="I102" s="40" t="n">
        <x:v>84</x:v>
      </x:c>
      <x:c r="J102" s="33" t="str">
        <x:v>Accord-cadre</x:v>
      </x:c>
      <x:c r="K102" s="33" t="str">
        <x:v>Appel d'offres restreint</x:v>
      </x:c>
      <x:c r="L102" s="33" t="str"/>
      <x:c r="M102" s="33" t="str">
        <x:v>(78) Yvelines</x:v>
      </x:c>
      <x:c r="N102" s="33" t="str">
        <x:v>Oui</x:v>
      </x:c>
      <x:c r="O102" s="33" t="str">
        <x:v>data.gouv.fr_aife</x:v>
      </x:c>
      <x:c r="P102" s="33" t="str">
        <x:v>20182020F1883000</x:v>
      </x:c>
    </x:row>
    <x:row r="103">
      <x:c r="A103" s="33" t="str">
        <x:v>20182020F1881800</x:v>
      </x:c>
      <x:c r="B103" s="33" t="str">
        <x:v>MINARM / SCA / PFC RBT - Plate-forme commissariat Rambouillet</x:v>
      </x:c>
      <x:c r="C103" s="33" t="str">
        <x:v>SEYNTEX</x:v>
      </x:c>
      <x:c r="D103" s="33" t="str">
        <x:v>Fabrication d'ensemble contre les intempéries: - Lot 3 : Blousons fourrure polaire.</x:v>
      </x:c>
      <x:c r="E103" s="33" t="str">
        <x:v>Tenues de combat.</x:v>
      </x:c>
      <x:c r="F103" s="36" t="n">
        <x:v>7544000</x:v>
      </x:c>
      <x:c r="G103" s="38" t="n">
        <x:v>43307</x:v>
      </x:c>
      <x:c r="H103" s="38" t="n">
        <x:v>43307</x:v>
      </x:c>
      <x:c r="I103" s="40" t="n">
        <x:v>84</x:v>
      </x:c>
      <x:c r="J103" s="33" t="str">
        <x:v>Accord-cadre</x:v>
      </x:c>
      <x:c r="K103" s="33" t="str">
        <x:v>Appel d'offres restreint</x:v>
      </x:c>
      <x:c r="L103" s="33" t="str"/>
      <x:c r="M103" s="33" t="str">
        <x:v>(78) Yvelines</x:v>
      </x:c>
      <x:c r="N103" s="33" t="str">
        <x:v>Oui</x:v>
      </x:c>
      <x:c r="O103" s="33" t="str">
        <x:v>data.gouv.fr_aife</x:v>
      </x:c>
      <x:c r="P103" s="33" t="str">
        <x:v>20182020F1881800</x:v>
      </x:c>
    </x:row>
    <x:row r="104">
      <x:c r="A104" s="33" t="str">
        <x:v>20182020F1893900</x:v>
      </x:c>
      <x:c r="B104" s="33" t="str">
        <x:v>MINARM / SCA / PFC RBT - Plate-forme commissariat Rambouillet</x:v>
      </x:c>
      <x:c r="C104" s="33" t="str">
        <x:v>SEYNTEX</x:v>
      </x:c>
      <x:c r="D104" s="33" t="str">
        <x:v>Fabrication d'ensemble contre les intempéries : - Lot 2 : Surpantalon bariolés théâtre européen</x:v>
      </x:c>
      <x:c r="E104" s="33" t="str">
        <x:v>Tenues de combat.</x:v>
      </x:c>
      <x:c r="F104" s="36" t="n">
        <x:v>4958000</x:v>
      </x:c>
      <x:c r="G104" s="38" t="n">
        <x:v>43307</x:v>
      </x:c>
      <x:c r="H104" s="38" t="n">
        <x:v>43307</x:v>
      </x:c>
      <x:c r="I104" s="40" t="n">
        <x:v>84</x:v>
      </x:c>
      <x:c r="J104" s="33" t="str">
        <x:v>Accord-cadre</x:v>
      </x:c>
      <x:c r="K104" s="33" t="str">
        <x:v>Appel d'offres restreint</x:v>
      </x:c>
      <x:c r="L104" s="33" t="str"/>
      <x:c r="M104" s="33" t="str">
        <x:v>(78) Yvelines</x:v>
      </x:c>
      <x:c r="N104" s="33" t="str">
        <x:v>Oui</x:v>
      </x:c>
      <x:c r="O104" s="33" t="str">
        <x:v>data.gouv.fr_aife</x:v>
      </x:c>
      <x:c r="P104" s="33" t="str">
        <x:v>20182020F1893900</x:v>
      </x:c>
    </x:row>
    <x:row r="105">
      <x:c r="A105" s="33" t="str">
        <x:v>2018150889298100</x:v>
      </x:c>
      <x:c r="B105" s="33" t="str">
        <x:v>MINARM / SGA / SID / ESID Rennes - Etablissement du service d'infrastructure de la défense de Rennes - ESID Rennes</x:v>
      </x:c>
      <x:c r="C105" s="33" t="str">
        <x:v>DIRICKX ESPACE CLOTURE CENTRE</x:v>
      </x:c>
      <x:c r="D105" s="33" t="str">
        <x:v>Avord (18) - Base aérienne 702 - Remplacement d'un portail aéronautique autoportant</x:v>
      </x:c>
      <x:c r="E105" s="33" t="str">
        <x:v>Installation de portails.</x:v>
      </x:c>
      <x:c r="F105" s="36" t="n">
        <x:v>101520</x:v>
      </x:c>
      <x:c r="G105" s="38" t="n">
        <x:v>43311</x:v>
      </x:c>
      <x:c r="H105" s="38" t="n">
        <x:v>43311</x:v>
      </x:c>
      <x:c r="I105" s="40" t="n">
        <x:v>28</x:v>
      </x:c>
      <x:c r="J105" s="33" t="str"/>
      <x:c r="K105" s="33" t="str"/>
      <x:c r="L105" s="33" t="str"/>
      <x:c r="M105" s="33" t="str">
        <x:v>(35) Ille-et-Vilaine</x:v>
      </x:c>
      <x:c r="N105" s="33" t="str">
        <x:v>Oui</x:v>
      </x:c>
      <x:c r="O105" s="33" t="str">
        <x:v>data.gouv.fr_aife</x:v>
      </x:c>
      <x:c r="P105" s="33" t="str">
        <x:v>2018150889298100</x:v>
      </x:c>
    </x:row>
    <x:row r="106">
      <x:c r="A106" s="33" t="str">
        <x:v>2018150889851800</x:v>
      </x:c>
      <x:c r="B106" s="33" t="str">
        <x:v>MINARM / SGA / SID / ESID Metz - Etablissement du service d'infrastructure de la défense de Metz - ESID Metz</x:v>
      </x:c>
      <x:c r="C106" s="33" t="str">
        <x:v>SILVEX CONSTRUCTION</x:v>
      </x:c>
      <x:c r="D106" s="33" t="str">
        <x:v>Projet n° 17/USID03/747 Bis - SISSONNE (02) - EX EACAT - Bâtiment 0008 - Création de sanitaires pour la FORAD - Travaux de plomberie, chauffage et génie climatique</x:v>
      </x:c>
      <x:c r="E106" s="33" t="str">
        <x:v>Travaux de plomberie.</x:v>
      </x:c>
      <x:c r="F106" s="36" t="n">
        <x:v>54798</x:v>
      </x:c>
      <x:c r="G106" s="38" t="n">
        <x:v>43311</x:v>
      </x:c>
      <x:c r="H106" s="38" t="n">
        <x:v>43311</x:v>
      </x:c>
      <x:c r="I106" s="40" t="n">
        <x:v>5</x:v>
      </x:c>
      <x:c r="J106" s="33" t="str"/>
      <x:c r="K106" s="33" t="str"/>
      <x:c r="L106" s="33" t="str"/>
      <x:c r="M106" s="33" t="str">
        <x:v>(57) Moselle</x:v>
      </x:c>
      <x:c r="N106" s="33" t="str">
        <x:v>Oui</x:v>
      </x:c>
      <x:c r="O106" s="33" t="str">
        <x:v>data.gouv.fr_aife</x:v>
      </x:c>
      <x:c r="P106" s="33" t="str">
        <x:v>2018150889851800</x:v>
      </x:c>
    </x:row>
    <x:row r="107">
      <x:c r="A107" s="33" t="str">
        <x:v>20182019F2323700</x:v>
      </x:c>
      <x:c r="B107" s="33" t="str">
        <x:v>MINARM / SCA / PFC RBT - Plate-forme commissariat Rambouillet</x:v>
      </x:c>
      <x:c r="C107" s="33" t="str">
        <x:v>Transconfection</x:v>
      </x:c>
      <x:c r="D107" s="33" t="str">
        <x:v>Confection de tenues de combat F3 : - chemises de combat F3 ; - chemises de combat F3 thermostable ; - pantalons de combat F3 ; - pantalons de combat F3 thermostable ;</x:v>
      </x:c>
      <x:c r="E107" s="33" t="str">
        <x:v>Tenues de combat.</x:v>
      </x:c>
      <x:c r="F107" s="36" t="n">
        <x:v>58333333</x:v>
      </x:c>
      <x:c r="G107" s="38" t="n">
        <x:v>43312</x:v>
      </x:c>
      <x:c r="H107" s="38" t="n">
        <x:v>43312</x:v>
      </x:c>
      <x:c r="I107" s="40" t="n">
        <x:v>84</x:v>
      </x:c>
      <x:c r="J107" s="33" t="str">
        <x:v>Accord-cadre</x:v>
      </x:c>
      <x:c r="K107" s="33" t="str">
        <x:v>Appel d'offres restreint</x:v>
      </x:c>
      <x:c r="L107" s="33" t="str"/>
      <x:c r="M107" s="33" t="str">
        <x:v>(78) Yvelines</x:v>
      </x:c>
      <x:c r="N107" s="33" t="str">
        <x:v>Oui</x:v>
      </x:c>
      <x:c r="O107" s="33" t="str">
        <x:v>data.gouv.fr_aife</x:v>
      </x:c>
      <x:c r="P107" s="33" t="str">
        <x:v>20182019F2323700</x:v>
      </x:c>
    </x:row>
    <x:row r="108">
      <x:c r="A108" s="33" t="str">
        <x:v>20182019F2323800</x:v>
      </x:c>
      <x:c r="B108" s="33" t="str">
        <x:v>MINARM / SCA / PFC RBT - Plate-forme commissariat Rambouillet</x:v>
      </x:c>
      <x:c r="C108" s="33" t="str">
        <x:v>LEO MINOR</x:v>
      </x:c>
      <x:c r="D108" s="33" t="str">
        <x:v>Confection de tenues de combat F3 : - chemises de combat F3 ; - chemises de combat F3 thermostable ; - pantalons de combat F3 ; - pantalons de combat F3 thermostable ;</x:v>
      </x:c>
      <x:c r="E108" s="33" t="str">
        <x:v>Tenues de combat.</x:v>
      </x:c>
      <x:c r="F108" s="36" t="n">
        <x:v>58333333</x:v>
      </x:c>
      <x:c r="G108" s="38" t="n">
        <x:v>43312</x:v>
      </x:c>
      <x:c r="H108" s="38" t="n">
        <x:v>43312</x:v>
      </x:c>
      <x:c r="I108" s="40" t="n">
        <x:v>84</x:v>
      </x:c>
      <x:c r="J108" s="33" t="str">
        <x:v>Accord-cadre</x:v>
      </x:c>
      <x:c r="K108" s="33" t="str">
        <x:v>Appel d'offres restreint</x:v>
      </x:c>
      <x:c r="L108" s="33" t="str"/>
      <x:c r="M108" s="33" t="str">
        <x:v>(78) Yvelines</x:v>
      </x:c>
      <x:c r="N108" s="33" t="str">
        <x:v>Oui</x:v>
      </x:c>
      <x:c r="O108" s="33" t="str">
        <x:v>data.gouv.fr_aife</x:v>
      </x:c>
      <x:c r="P108" s="33" t="str">
        <x:v>20182019F2323800</x:v>
      </x:c>
    </x:row>
    <x:row r="109">
      <x:c r="A109" s="33" t="str">
        <x:v>20182019F1878800</x:v>
      </x:c>
      <x:c r="B109" s="33" t="str">
        <x:v>MINARM / SCA / PFC RBT - Plate-forme commissariat Rambouillet</x:v>
      </x:c>
      <x:c r="C109" s="33" t="str">
        <x:v>Karo-06</x:v>
      </x:c>
      <x:c r="D109" s="33" t="str">
        <x:v>Confection de tenues de combat F3 : - chemises de combat F3 ; - chemises de combat F3 thermostable ; - pantalons de combat F3 ; - pantalons de combat F3 thermostable</x:v>
      </x:c>
      <x:c r="E109" s="33" t="str">
        <x:v>Tenues de combat.</x:v>
      </x:c>
      <x:c r="F109" s="36" t="n">
        <x:v>58333333</x:v>
      </x:c>
      <x:c r="G109" s="38" t="n">
        <x:v>43312</x:v>
      </x:c>
      <x:c r="H109" s="38" t="n">
        <x:v>43312</x:v>
      </x:c>
      <x:c r="I109" s="40" t="n">
        <x:v>84</x:v>
      </x:c>
      <x:c r="J109" s="33" t="str">
        <x:v>Accord-cadre</x:v>
      </x:c>
      <x:c r="K109" s="33" t="str">
        <x:v>Appel d'offres restreint</x:v>
      </x:c>
      <x:c r="L109" s="33" t="str"/>
      <x:c r="M109" s="33" t="str">
        <x:v>(78) Yvelines</x:v>
      </x:c>
      <x:c r="N109" s="33" t="str">
        <x:v>Oui</x:v>
      </x:c>
      <x:c r="O109" s="33" t="str">
        <x:v>data.gouv.fr_aife</x:v>
      </x:c>
      <x:c r="P109" s="33" t="str">
        <x:v>20182019F1878800</x:v>
      </x:c>
    </x:row>
    <x:row r="110">
      <x:c r="A110" s="33" t="str">
        <x:v>20182019F1879100</x:v>
      </x:c>
      <x:c r="B110" s="33" t="str">
        <x:v>MINARM / SCA / PFC RBT - Plate-forme commissariat Rambouillet</x:v>
      </x:c>
      <x:c r="C110" s="33" t="str">
        <x:v>LEO MINOR</x:v>
      </x:c>
      <x:c r="D110" s="33" t="str">
        <x:v>Confection de tenues de combat F3 : - chemises de combat F3 ; - chemises de combat F3 thermostable ; - pantalons de combat F3 ; - pantalons de combat F3 thermostable</x:v>
      </x:c>
      <x:c r="E110" s="33" t="str">
        <x:v>Tenues de combat.</x:v>
      </x:c>
      <x:c r="F110" s="36" t="n">
        <x:v>58333333</x:v>
      </x:c>
      <x:c r="G110" s="38" t="n">
        <x:v>43312</x:v>
      </x:c>
      <x:c r="H110" s="38" t="n">
        <x:v>43312</x:v>
      </x:c>
      <x:c r="I110" s="40" t="n">
        <x:v>84</x:v>
      </x:c>
      <x:c r="J110" s="33" t="str">
        <x:v>Accord-cadre</x:v>
      </x:c>
      <x:c r="K110" s="33" t="str">
        <x:v>Appel d'offres restreint</x:v>
      </x:c>
      <x:c r="L110" s="33" t="str"/>
      <x:c r="M110" s="33" t="str">
        <x:v>(78) Yvelines</x:v>
      </x:c>
      <x:c r="N110" s="33" t="str">
        <x:v>Oui</x:v>
      </x:c>
      <x:c r="O110" s="33" t="str">
        <x:v>data.gouv.fr_aife</x:v>
      </x:c>
      <x:c r="P110" s="33" t="str">
        <x:v>20182019F1879100</x:v>
      </x:c>
    </x:row>
    <x:row r="111">
      <x:c r="A111" s="33" t="str">
        <x:v>20182019F1879200</x:v>
      </x:c>
      <x:c r="B111" s="33" t="str">
        <x:v>MINARM / SCA / PFC RBT - Plate-forme commissariat Rambouillet</x:v>
      </x:c>
      <x:c r="C111" s="33" t="str">
        <x:v>ARMOR DEVELOPPEMENT</x:v>
      </x:c>
      <x:c r="D111" s="33" t="str">
        <x:v>Confection de tenues de combat F3 : - chemises de combat F3 ; - chemises de combat F3 thermostable ; - pantalons de combat F3 ; - pantalons de combat F3 thermostable</x:v>
      </x:c>
      <x:c r="E111" s="33" t="str">
        <x:v>Tenues de combat.</x:v>
      </x:c>
      <x:c r="F111" s="36" t="n">
        <x:v>58333333</x:v>
      </x:c>
      <x:c r="G111" s="38" t="n">
        <x:v>43312</x:v>
      </x:c>
      <x:c r="H111" s="38" t="n">
        <x:v>43312</x:v>
      </x:c>
      <x:c r="I111" s="40" t="n">
        <x:v>84</x:v>
      </x:c>
      <x:c r="J111" s="33" t="str">
        <x:v>Accord-cadre</x:v>
      </x:c>
      <x:c r="K111" s="33" t="str">
        <x:v>Appel d'offres restreint</x:v>
      </x:c>
      <x:c r="L111" s="33" t="str"/>
      <x:c r="M111" s="33" t="str">
        <x:v>(78) Yvelines</x:v>
      </x:c>
      <x:c r="N111" s="33" t="str">
        <x:v>Oui</x:v>
      </x:c>
      <x:c r="O111" s="33" t="str">
        <x:v>data.gouv.fr_aife</x:v>
      </x:c>
      <x:c r="P111" s="33" t="str">
        <x:v>20182019F1879200</x:v>
      </x:c>
    </x:row>
    <x:row r="112">
      <x:c r="A112" s="33" t="str">
        <x:v>20182019S0737200</x:v>
      </x:c>
      <x:c r="B112" s="33" t="str">
        <x:v>MINARM / ESTM / EPA / MAE - Musée de l'Air et de l'Espace</x:v>
      </x:c>
      <x:c r="C112" s="33" t="str">
        <x:v>EN COULISSES</x:v>
      </x:c>
      <x:c r="D112" s="33" t="str">
        <x:v>Représentation d’un conte tout public et familial pour la Nuit des Étoiles 2018</x:v>
      </x:c>
      <x:c r="E112" s="33" t="str">
        <x:v>Services récréatifs, culturels et sportifs.</x:v>
      </x:c>
      <x:c r="F112" s="36" t="n">
        <x:v>853</x:v>
      </x:c>
      <x:c r="G112" s="38" t="n">
        <x:v>43312</x:v>
      </x:c>
      <x:c r="H112" s="38" t="n">
        <x:v>43312</x:v>
      </x:c>
      <x:c r="I112" s="40" t="n">
        <x:v>1</x:v>
      </x:c>
      <x:c r="J112" s="33" t="str">
        <x:v>Marché</x:v>
      </x:c>
      <x:c r="K112" s="33" t="str"/>
      <x:c r="L112" s="33" t="str">
        <x:v>Ferme</x:v>
      </x:c>
      <x:c r="M112" s="33" t="str">
        <x:v>(93) Seine-Saint-Denis</x:v>
      </x:c>
      <x:c r="N112" s="33" t="str">
        <x:v>Oui</x:v>
      </x:c>
      <x:c r="O112" s="33" t="str">
        <x:v>data.gouv.fr_aife</x:v>
      </x:c>
      <x:c r="P112" s="33" t="str">
        <x:v>20182019S0737200</x:v>
      </x:c>
    </x:row>
    <x:row r="113">
      <x:c r="A113" s="33" t="str">
        <x:v>20182019F1878900</x:v>
      </x:c>
      <x:c r="B113" s="33" t="str">
        <x:v>MINARM / SCA / PFC RBT - Plate-forme commissariat Rambouillet</x:v>
      </x:c>
      <x:c r="C113" s="33" t="str">
        <x:v>Transconfection</x:v>
      </x:c>
      <x:c r="D113" s="33" t="str">
        <x:v>Confection de tenues de combat F3 : - chemises de combat F3 ; - chemises de combat F3 thermostable ; - pantalons de combat F3 ; - pantalons de combat F3 thermostable</x:v>
      </x:c>
      <x:c r="E113" s="33" t="str">
        <x:v>Tenues de combat.</x:v>
      </x:c>
      <x:c r="F113" s="36" t="n">
        <x:v>58333333</x:v>
      </x:c>
      <x:c r="G113" s="38" t="n">
        <x:v>43312</x:v>
      </x:c>
      <x:c r="H113" s="38" t="n">
        <x:v>43312</x:v>
      </x:c>
      <x:c r="I113" s="40" t="n">
        <x:v>84</x:v>
      </x:c>
      <x:c r="J113" s="33" t="str">
        <x:v>Accord-cadre</x:v>
      </x:c>
      <x:c r="K113" s="33" t="str">
        <x:v>Appel d'offres restreint</x:v>
      </x:c>
      <x:c r="L113" s="33" t="str"/>
      <x:c r="M113" s="33" t="str">
        <x:v>(78) Yvelines</x:v>
      </x:c>
      <x:c r="N113" s="33" t="str">
        <x:v>Oui</x:v>
      </x:c>
      <x:c r="O113" s="33" t="str">
        <x:v>data.gouv.fr_aife</x:v>
      </x:c>
      <x:c r="P113" s="33" t="str">
        <x:v>20182019F1878900</x:v>
      </x:c>
    </x:row>
    <x:row r="114">
      <x:c r="A114" s="33" t="str">
        <x:v>20182019F2323600</x:v>
      </x:c>
      <x:c r="B114" s="33" t="str">
        <x:v>MINARM / SCA / PFC RBT - Plate-forme commissariat Rambouillet</x:v>
      </x:c>
      <x:c r="C114" s="33" t="str">
        <x:v>Karo-06</x:v>
      </x:c>
      <x:c r="D114" s="33" t="str">
        <x:v>Confection de tenues de combat F3 : - chemises de combat F3 ; - chemises de combat F3 thermostable ; - pantalons de combat F3 ; - pantalons de combat F3 thermostable ;</x:v>
      </x:c>
      <x:c r="E114" s="33" t="str">
        <x:v>Tenues de combat.</x:v>
      </x:c>
      <x:c r="F114" s="36" t="n">
        <x:v>58333333</x:v>
      </x:c>
      <x:c r="G114" s="38" t="n">
        <x:v>43312</x:v>
      </x:c>
      <x:c r="H114" s="38" t="n">
        <x:v>43312</x:v>
      </x:c>
      <x:c r="I114" s="40" t="n">
        <x:v>84</x:v>
      </x:c>
      <x:c r="J114" s="33" t="str">
        <x:v>Accord-cadre</x:v>
      </x:c>
      <x:c r="K114" s="33" t="str">
        <x:v>Appel d'offres restreint</x:v>
      </x:c>
      <x:c r="L114" s="33" t="str"/>
      <x:c r="M114" s="33" t="str">
        <x:v>(78) Yvelines</x:v>
      </x:c>
      <x:c r="N114" s="33" t="str">
        <x:v>Oui</x:v>
      </x:c>
      <x:c r="O114" s="33" t="str">
        <x:v>data.gouv.fr_aife</x:v>
      </x:c>
      <x:c r="P114" s="33" t="str">
        <x:v>20182019F2323600</x:v>
      </x:c>
    </x:row>
    <x:row r="115">
      <x:c r="A115" s="33" t="str">
        <x:v>20182019F2324000</x:v>
      </x:c>
      <x:c r="B115" s="33" t="str">
        <x:v>MINARM / SCA / PFC RBT - Plate-forme commissariat Rambouillet</x:v>
      </x:c>
      <x:c r="C115" s="33" t="str">
        <x:v>ARMOR DEVELOPPEMENT</x:v>
      </x:c>
      <x:c r="D115" s="33" t="str">
        <x:v>Confection de tenues de combat F3 : - chemises de combat F3 ; - chemises de combat F3 thermostable ; - pantalons de combat F3 ; - pantalons de combat F3 thermostable ;</x:v>
      </x:c>
      <x:c r="E115" s="33" t="str">
        <x:v>Tenues de combat.</x:v>
      </x:c>
      <x:c r="F115" s="36" t="n">
        <x:v>58333333</x:v>
      </x:c>
      <x:c r="G115" s="38" t="n">
        <x:v>43312</x:v>
      </x:c>
      <x:c r="H115" s="38" t="n">
        <x:v>43312</x:v>
      </x:c>
      <x:c r="I115" s="40" t="n">
        <x:v>84</x:v>
      </x:c>
      <x:c r="J115" s="33" t="str">
        <x:v>Accord-cadre</x:v>
      </x:c>
      <x:c r="K115" s="33" t="str">
        <x:v>Appel d'offres restreint</x:v>
      </x:c>
      <x:c r="L115" s="33" t="str"/>
      <x:c r="M115" s="33" t="str">
        <x:v>(78) Yvelines</x:v>
      </x:c>
      <x:c r="N115" s="33" t="str">
        <x:v>Oui</x:v>
      </x:c>
      <x:c r="O115" s="33" t="str">
        <x:v>data.gouv.fr_aife</x:v>
      </x:c>
      <x:c r="P115" s="33" t="str">
        <x:v>20182019F2324000</x:v>
      </x:c>
    </x:row>
    <x:row r="116">
      <x:c r="A116" s="33" t="str">
        <x:v>20182019F1879000</x:v>
      </x:c>
      <x:c r="B116" s="33" t="str">
        <x:v>MINARM / SCA / PFC RBT - Plate-forme commissariat Rambouillet</x:v>
      </x:c>
      <x:c r="C116" s="33" t="str">
        <x:v>SEYNTEX SA</x:v>
      </x:c>
      <x:c r="D116" s="33" t="str">
        <x:v>Confection de tenues de combat F3 : - chemises de combat F3 ; - chemises de combat F3 thermostable ; - pantalons de combat F3 ; - pantalons de combat F3 thermostable</x:v>
      </x:c>
      <x:c r="E116" s="33" t="str">
        <x:v>Tenues de combat.</x:v>
      </x:c>
      <x:c r="F116" s="36" t="n">
        <x:v>58333333</x:v>
      </x:c>
      <x:c r="G116" s="38" t="n">
        <x:v>43313</x:v>
      </x:c>
      <x:c r="H116" s="38" t="n">
        <x:v>43313</x:v>
      </x:c>
      <x:c r="I116" s="40" t="n">
        <x:v>84</x:v>
      </x:c>
      <x:c r="J116" s="33" t="str">
        <x:v>Accord-cadre</x:v>
      </x:c>
      <x:c r="K116" s="33" t="str">
        <x:v>Appel d'offres restreint</x:v>
      </x:c>
      <x:c r="L116" s="33" t="str"/>
      <x:c r="M116" s="33" t="str">
        <x:v>(78) Yvelines</x:v>
      </x:c>
      <x:c r="N116" s="33" t="str">
        <x:v>Oui</x:v>
      </x:c>
      <x:c r="O116" s="33" t="str">
        <x:v>data.gouv.fr_aife</x:v>
      </x:c>
      <x:c r="P116" s="33" t="str">
        <x:v>20182019F1879000</x:v>
      </x:c>
    </x:row>
    <x:row r="117">
      <x:c r="A117" s="33" t="str">
        <x:v>20182019F2323900</x:v>
      </x:c>
      <x:c r="B117" s="33" t="str">
        <x:v>MINARM / SCA / PFC RBT - Plate-forme commissariat Rambouillet</x:v>
      </x:c>
      <x:c r="C117" s="33" t="str">
        <x:v>SEYNTEX</x:v>
      </x:c>
      <x:c r="D117" s="33" t="str">
        <x:v>Confection de tenues de combat F3 : - chemises de combat F3 ; - chemises de combat F3 thermostable ; - pantalons de combat F3 ; - pantalons de combat F3 thermostable ;</x:v>
      </x:c>
      <x:c r="E117" s="33" t="str">
        <x:v>Tenues de combat.</x:v>
      </x:c>
      <x:c r="F117" s="36" t="n">
        <x:v>58333333</x:v>
      </x:c>
      <x:c r="G117" s="38" t="n">
        <x:v>43313</x:v>
      </x:c>
      <x:c r="H117" s="38" t="n">
        <x:v>43313</x:v>
      </x:c>
      <x:c r="I117" s="40" t="n">
        <x:v>84</x:v>
      </x:c>
      <x:c r="J117" s="33" t="str">
        <x:v>Accord-cadre</x:v>
      </x:c>
      <x:c r="K117" s="33" t="str">
        <x:v>Appel d'offres restreint</x:v>
      </x:c>
      <x:c r="L117" s="33" t="str"/>
      <x:c r="M117" s="33" t="str">
        <x:v>(78) Yvelines</x:v>
      </x:c>
      <x:c r="N117" s="33" t="str">
        <x:v>Oui</x:v>
      </x:c>
      <x:c r="O117" s="33" t="str">
        <x:v>data.gouv.fr_aife</x:v>
      </x:c>
      <x:c r="P117" s="33" t="str">
        <x:v>20182019F2323900</x:v>
      </x:c>
    </x:row>
    <x:row r="118">
      <x:c r="A118" s="33" t="str">
        <x:v>2018150890129800</x:v>
      </x:c>
      <x:c r="B118" s="33" t="str">
        <x:v>MINARM / SGA / SID / ESID Rennes - Etablissement du service d'infrastructure de la défense de Rennes - ESID Rennes</x:v>
      </x:c>
      <x:c r="C118" s="33" t="str">
        <x:v>ENTR TRAVAUX PUBLICS DE L OUEST</x:v>
      </x:c>
      <x:c r="D118" s="33" t="str">
        <x:v>GUER (56) - Camp de COËTQUIDAN - B0041 Stand B12 - ADAPTATION ISTC OUVRAGES ENTERRES ET BLINDAGE -</x:v>
      </x:c>
      <x:c r="E118" s="33" t="str">
        <x:v>Travaux de construction.</x:v>
      </x:c>
      <x:c r="F118" s="36" t="n">
        <x:v>432039</x:v>
      </x:c>
      <x:c r="G118" s="38" t="n">
        <x:v>43314</x:v>
      </x:c>
      <x:c r="H118" s="38" t="n">
        <x:v>43314</x:v>
      </x:c>
      <x:c r="I118" s="40" t="n">
        <x:v>11</x:v>
      </x:c>
      <x:c r="J118" s="33" t="str"/>
      <x:c r="K118" s="33" t="str"/>
      <x:c r="L118" s="33" t="str"/>
      <x:c r="M118" s="33" t="str">
        <x:v>(56) Morbihan</x:v>
      </x:c>
      <x:c r="N118" s="33" t="str">
        <x:v>Oui</x:v>
      </x:c>
      <x:c r="O118" s="33" t="str">
        <x:v>data.gouv.fr_aife</x:v>
      </x:c>
      <x:c r="P118" s="33" t="str">
        <x:v>2018150890129800</x:v>
      </x:c>
    </x:row>
    <x:row r="119">
      <x:c r="A119" s="33" t="str">
        <x:v>20182018S4111300</x:v>
      </x:c>
      <x:c r="B119" s="33" t="str">
        <x:v>MINARM / SIAé / AIA Ambérieu - Atelier Industriel de l'Aéronautique d'Ambérieu en Bugey - AIA Ambérieu</x:v>
      </x:c>
      <x:c r="C119" s="33" t="str">
        <x:v>NSE</x:v>
      </x:c>
      <x:c r="D119" s="33" t="str">
        <x:v>Vérification d'un récepteur radio-compas au profit de l'atelier industriel de l'aéronautique d'Amberieur en bugey.</x:v>
      </x:c>
      <x:c r="E119" s="33" t="str">
        <x:v>Instruments de mesure.</x:v>
      </x:c>
      <x:c r="F119" s="36" t="n">
        <x:v>550</x:v>
      </x:c>
      <x:c r="G119" s="38" t="n">
        <x:v>43319</x:v>
      </x:c>
      <x:c r="H119" s="38" t="n">
        <x:v>43319</x:v>
      </x:c>
      <x:c r="I119" s="40" t="n">
        <x:v>1</x:v>
      </x:c>
      <x:c r="J119" s="33" t="str">
        <x:v>Marché</x:v>
      </x:c>
      <x:c r="K119" s="33" t="str">
        <x:v>Procédure adaptée</x:v>
      </x:c>
      <x:c r="L119" s="33" t="str">
        <x:v>Ferme</x:v>
      </x:c>
      <x:c r="M119" s="33" t="str">
        <x:v>(01) Ain</x:v>
      </x:c>
      <x:c r="N119" s="33" t="str">
        <x:v>Oui</x:v>
      </x:c>
      <x:c r="O119" s="33" t="str">
        <x:v>data.gouv.fr_aife</x:v>
      </x:c>
      <x:c r="P119" s="33" t="str">
        <x:v>20182018S4111300</x:v>
      </x:c>
    </x:row>
    <x:row r="120">
      <x:c r="A120" s="33" t="str">
        <x:v>2018150892045600</x:v>
      </x:c>
      <x:c r="B120" s="33" t="str">
        <x:v>MINARM / SGA / SID / DID SDS - Direction d'infrastructure de la défense de Saint-Denis - DID Saint Denis</x:v>
      </x:c>
      <x:c r="C120" s="33" t="str">
        <x:v>SOC CLAIN CONSTRUCTION BATIMENT</x:v>
      </x:c>
      <x:c r="D120" s="33" t="str">
        <x:v>- TRAVAUX - 1 - IDENTIFICATION DE L'ORGANISME QUI PASSE LE MARCHE : - SERVICE D'INFRASTRUCTURE DE LA DEFENSE - DIRECTION D'INFRASTRUCTURE DE LA DEFENSE DE SAINT DENIS - Adresse postale : - Caserne Lambert - Avenue du chef de BTN Lambert BP 67709 - 978...</x:v>
      </x:c>
      <x:c r="E120" s="33" t="str">
        <x:v>Travaux de revêtement divers.</x:v>
      </x:c>
      <x:c r="F120" s="36" t="n">
        <x:v>19440</x:v>
      </x:c>
      <x:c r="G120" s="38" t="n">
        <x:v>43321</x:v>
      </x:c>
      <x:c r="H120" s="38" t="n">
        <x:v>43321</x:v>
      </x:c>
      <x:c r="I120" s="40" t="n">
        <x:v>10</x:v>
      </x:c>
      <x:c r="J120" s="33" t="str"/>
      <x:c r="K120" s="33" t="str"/>
      <x:c r="L120" s="33" t="str"/>
      <x:c r="M120" s="33" t="str">
        <x:v>(974) Réunion</x:v>
      </x:c>
      <x:c r="N120" s="33" t="str">
        <x:v>Oui</x:v>
      </x:c>
      <x:c r="O120" s="33" t="str">
        <x:v>data.gouv.fr_aife</x:v>
      </x:c>
      <x:c r="P120" s="33" t="str">
        <x:v>2018150892045600</x:v>
      </x:c>
    </x:row>
    <x:row r="121">
      <x:c r="A121" s="33" t="str">
        <x:v>2018150892452700</x:v>
      </x:c>
      <x:c r="B121" s="33" t="str">
        <x:v>MINARM / SGA / SID / ESID Metz - Etablissement du service d'infrastructure de la défense de Metz - ESID Metz</x:v>
      </x:c>
      <x:c r="C121" s="33" t="str">
        <x:v>MAINTENANCE GENIE CLIMATIQUE</x:v>
      </x:c>
      <x:c r="D121" s="33" t="str">
        <x:v>DOUAI (59) quartier Corbineau - Bâtiment 0008 - Aménagement d'un espace accueil (Guichet ATLAS) - plomberie sanitaire, ventilation</x:v>
      </x:c>
      <x:c r="E121" s="33" t="str">
        <x:v>Travaux de plomberie.</x:v>
      </x:c>
      <x:c r="F121" s="36" t="n">
        <x:v>11310</x:v>
      </x:c>
      <x:c r="G121" s="38" t="n">
        <x:v>43332</x:v>
      </x:c>
      <x:c r="H121" s="38" t="n">
        <x:v>43332</x:v>
      </x:c>
      <x:c r="I121" s="40" t="n">
        <x:v>4</x:v>
      </x:c>
      <x:c r="J121" s="33" t="str"/>
      <x:c r="K121" s="33" t="str"/>
      <x:c r="L121" s="33" t="str"/>
      <x:c r="M121" s="33" t="str">
        <x:v>(57) Moselle</x:v>
      </x:c>
      <x:c r="N121" s="33" t="str">
        <x:v>Oui</x:v>
      </x:c>
      <x:c r="O121" s="33" t="str">
        <x:v>data.gouv.fr_aife</x:v>
      </x:c>
      <x:c r="P121" s="33" t="str">
        <x:v>2018150892452700</x:v>
      </x:c>
    </x:row>
    <x:row r="122">
      <x:c r="A122" s="33" t="str">
        <x:v>2018150892440300</x:v>
      </x:c>
      <x:c r="B122" s="33" t="str">
        <x:v>MINARM / SGA / SID / ESID Metz - Etablissement du service d'infrastructure de la défense de Metz - ESID Metz</x:v>
      </x:c>
      <x:c r="C122" s="33" t="str">
        <x:v>COGEZ METAL</x:v>
      </x:c>
      <x:c r="D122" s="33" t="str">
        <x:v>DOUAI (59) quartier Corbineau - Bâtiment 0008 - Aménagement d'un espace accueil (Guichet ATLAS) - menuiseries</x:v>
      </x:c>
      <x:c r="E122" s="33" t="str">
        <x:v>Travaux de menuiserie.</x:v>
      </x:c>
      <x:c r="F122" s="36" t="n">
        <x:v>13935</x:v>
      </x:c>
      <x:c r="G122" s="38" t="n">
        <x:v>43332</x:v>
      </x:c>
      <x:c r="H122" s="38" t="n">
        <x:v>43332</x:v>
      </x:c>
      <x:c r="I122" s="40" t="n">
        <x:v>4</x:v>
      </x:c>
      <x:c r="J122" s="33" t="str"/>
      <x:c r="K122" s="33" t="str"/>
      <x:c r="L122" s="33" t="str"/>
      <x:c r="M122" s="33" t="str">
        <x:v>(57) Moselle</x:v>
      </x:c>
      <x:c r="N122" s="33" t="str">
        <x:v>Oui</x:v>
      </x:c>
      <x:c r="O122" s="33" t="str">
        <x:v>data.gouv.fr_aife</x:v>
      </x:c>
      <x:c r="P122" s="33" t="str">
        <x:v>2018150892440300</x:v>
      </x:c>
    </x:row>
    <x:row r="123">
      <x:c r="A123" s="33" t="str">
        <x:v>2018150892448300</x:v>
      </x:c>
      <x:c r="B123" s="33" t="str">
        <x:v>MINARM / SGA / SID / ESID Metz - Etablissement du service d'infrastructure de la défense de Metz - ESID Metz</x:v>
      </x:c>
      <x:c r="C123" s="33" t="str">
        <x:v>ML BATIMENT</x:v>
      </x:c>
      <x:c r="D123" s="33" t="str">
        <x:v>DOUAI (59) quartier Corbineau - Bâtiment 0008 - Aménagement d'un espace accueil (Guichet ATLAS) - Gros oeuvre étendu</x:v>
      </x:c>
      <x:c r="E123" s="33" t="str">
        <x:v>Travaux de remise en état.</x:v>
      </x:c>
      <x:c r="F123" s="36" t="n">
        <x:v>139183</x:v>
      </x:c>
      <x:c r="G123" s="38" t="n">
        <x:v>43332</x:v>
      </x:c>
      <x:c r="H123" s="38" t="n">
        <x:v>43332</x:v>
      </x:c>
      <x:c r="I123" s="40" t="n">
        <x:v>4</x:v>
      </x:c>
      <x:c r="J123" s="33" t="str"/>
      <x:c r="K123" s="33" t="str"/>
      <x:c r="L123" s="33" t="str"/>
      <x:c r="M123" s="33" t="str">
        <x:v>(57) Moselle</x:v>
      </x:c>
      <x:c r="N123" s="33" t="str">
        <x:v>Oui</x:v>
      </x:c>
      <x:c r="O123" s="33" t="str">
        <x:v>data.gouv.fr_aife</x:v>
      </x:c>
      <x:c r="P123" s="33" t="str">
        <x:v>2018150892448300</x:v>
      </x:c>
    </x:row>
    <x:row r="124">
      <x:c r="A124" s="33" t="str">
        <x:v>2018150892451400</x:v>
      </x:c>
      <x:c r="B124" s="33" t="str">
        <x:v>MINARM / SGA / SID / ESID Metz - Etablissement du service d'infrastructure de la défense de Metz - ESID Metz</x:v>
      </x:c>
      <x:c r="C124" s="33" t="str">
        <x:v>INEO HAUTS DE FRANCE</x:v>
      </x:c>
      <x:c r="D124" s="33" t="str">
        <x:v>DOUAI (59) quartier Corbineau - Bâtiment 0008 - Aménagement d'un espace accueil (Guichet ATLAS) - électricité</x:v>
      </x:c>
      <x:c r="E124" s="33" t="str">
        <x:v>Travaux d'installations électriques.</x:v>
      </x:c>
      <x:c r="F124" s="36" t="n">
        <x:v>59556</x:v>
      </x:c>
      <x:c r="G124" s="38" t="n">
        <x:v>43332</x:v>
      </x:c>
      <x:c r="H124" s="38" t="n">
        <x:v>43332</x:v>
      </x:c>
      <x:c r="I124" s="40" t="n">
        <x:v>4</x:v>
      </x:c>
      <x:c r="J124" s="33" t="str"/>
      <x:c r="K124" s="33" t="str"/>
      <x:c r="L124" s="33" t="str"/>
      <x:c r="M124" s="33" t="str">
        <x:v>(57) Moselle</x:v>
      </x:c>
      <x:c r="N124" s="33" t="str">
        <x:v>Oui</x:v>
      </x:c>
      <x:c r="O124" s="33" t="str">
        <x:v>data.gouv.fr_aife</x:v>
      </x:c>
      <x:c r="P124" s="33" t="str">
        <x:v>2018150892451400</x:v>
      </x:c>
    </x:row>
    <x:row r="125">
      <x:c r="A125" s="33" t="str">
        <x:v>20182019S0737400</x:v>
      </x:c>
      <x:c r="B125" s="33" t="str">
        <x:v>MINARM / ESTM / EPA / MAE - Musée de l'Air et de l'Espace</x:v>
      </x:c>
      <x:c r="C125" s="33" t="str">
        <x:v>ASS JEAN- FRED BEUZIER et CO</x:v>
      </x:c>
      <x:c r="D125" s="33" t="str">
        <x:v>Représentation d’un spectacle triptyque tout public et familial pour les journées du patrimoine 2018.</x:v>
      </x:c>
      <x:c r="E125" s="33" t="str">
        <x:v>Services récréatifs, culturels et sportifs.</x:v>
      </x:c>
      <x:c r="F125" s="36" t="n">
        <x:v>3570</x:v>
      </x:c>
      <x:c r="G125" s="38" t="n">
        <x:v>43337</x:v>
      </x:c>
      <x:c r="H125" s="38" t="n">
        <x:v>43337</x:v>
      </x:c>
      <x:c r="I125" s="40" t="n">
        <x:v>1</x:v>
      </x:c>
      <x:c r="J125" s="33" t="str">
        <x:v>Marché</x:v>
      </x:c>
      <x:c r="K125" s="33" t="str"/>
      <x:c r="L125" s="33" t="str">
        <x:v>Ferme</x:v>
      </x:c>
      <x:c r="M125" s="33" t="str">
        <x:v>(93) Seine-Saint-Denis</x:v>
      </x:c>
      <x:c r="N125" s="33" t="str">
        <x:v>Oui</x:v>
      </x:c>
      <x:c r="O125" s="33" t="str">
        <x:v>data.gouv.fr_aife</x:v>
      </x:c>
      <x:c r="P125" s="33" t="str">
        <x:v>20182019S0737400</x:v>
      </x:c>
    </x:row>
    <x:row r="126">
      <x:c r="A126" s="33" t="str">
        <x:v>2018150894018600</x:v>
      </x:c>
      <x:c r="B126" s="33" t="str">
        <x:v>MINARM / SGA / SID / ESID Metz - Etablissement du service d'infrastructure de la défense de Metz - ESID Metz</x:v>
      </x:c>
      <x:c r="C126" s="33" t="str">
        <x:v>ETANDEX</x:v>
      </x:c>
      <x:c r="D126" s="33" t="str">
        <x:v>2018-USID02-18S/869 MUTZIG-(BAS-RHIN) CASERNE MOUSSY-44RT-Réfection de l'étanchéité de la passerelle d'accès à la caserne Clerc et remplacement du tourniquet</x:v>
      </x:c>
      <x:c r="E126" s="33" t="str">
        <x:v>Travaux d'isolation de toiture.</x:v>
      </x:c>
      <x:c r="F126" s="36" t="n">
        <x:v>89814</x:v>
      </x:c>
      <x:c r="G126" s="38" t="n">
        <x:v>43349</x:v>
      </x:c>
      <x:c r="H126" s="38" t="n">
        <x:v>43349</x:v>
      </x:c>
      <x:c r="I126" s="40" t="n">
        <x:v>3</x:v>
      </x:c>
      <x:c r="J126" s="33" t="str"/>
      <x:c r="K126" s="33" t="str"/>
      <x:c r="L126" s="33" t="str"/>
      <x:c r="M126" s="33" t="str">
        <x:v>(57) Moselle</x:v>
      </x:c>
      <x:c r="N126" s="33" t="str">
        <x:v>Oui</x:v>
      </x:c>
      <x:c r="O126" s="33" t="str">
        <x:v>data.gouv.fr_aife</x:v>
      </x:c>
      <x:c r="P126" s="33" t="str">
        <x:v>2018150894018600</x:v>
      </x:c>
    </x:row>
    <x:row r="127">
      <x:c r="A127" s="33" t="str">
        <x:v>2018150894021400</x:v>
      </x:c>
      <x:c r="B127" s="33" t="str">
        <x:v>MINARM / SGA / SID / ESID Metz - Etablissement du service d'infrastructure de la défense de Metz - ESID Metz</x:v>
      </x:c>
      <x:c r="C127" s="33" t="str">
        <x:v>GENIE CLIMATIQUE DE L'EST</x:v>
      </x:c>
      <x:c r="D127" s="33" t="str">
        <x:v>2018-USID02-18S/870 GRESSWILLER (BAS-RHIN) - Quartier Chassepot-Raccordement du bâtiment 002 au réseau chauffage</x:v>
      </x:c>
      <x:c r="E127" s="33" t="str">
        <x:v>Canalisations.</x:v>
      </x:c>
      <x:c r="F127" s="36" t="n">
        <x:v>59700</x:v>
      </x:c>
      <x:c r="G127" s="38" t="n">
        <x:v>43349</x:v>
      </x:c>
      <x:c r="H127" s="38" t="n">
        <x:v>43349</x:v>
      </x:c>
      <x:c r="I127" s="40" t="n">
        <x:v>2</x:v>
      </x:c>
      <x:c r="J127" s="33" t="str"/>
      <x:c r="K127" s="33" t="str"/>
      <x:c r="L127" s="33" t="str"/>
      <x:c r="M127" s="33" t="str">
        <x:v>(57) Moselle</x:v>
      </x:c>
      <x:c r="N127" s="33" t="str">
        <x:v>Oui</x:v>
      </x:c>
      <x:c r="O127" s="33" t="str">
        <x:v>data.gouv.fr_aife</x:v>
      </x:c>
      <x:c r="P127" s="33" t="str">
        <x:v>2018150894021400</x:v>
      </x:c>
    </x:row>
    <x:row r="128">
      <x:c r="A128" s="33" t="str">
        <x:v>20182018S4111900</x:v>
      </x:c>
      <x:c r="B128" s="33" t="str">
        <x:v>MINARM / SIAé / AIA Ambérieu - Atelier Industriel de l'Aéronautique d'Ambérieu en Bugey - AIA Ambérieu</x:v>
      </x:c>
      <x:c r="C128" s="33" t="str">
        <x:v>MIRION TECHNOLOGIES (MGPI) SAS</x:v>
      </x:c>
      <x:c r="D128" s="33" t="str">
        <x:v>Vérification avec ajustage, étalonnage et remise en état d'équipements du domaine du nucléaire au profit de l'AIA d'Ambérieu en Bugey</x:v>
      </x:c>
      <x:c r="E128" s="33" t="str">
        <x:v>Services de réparation et d'entretien d'appareils de mesure, d'essai et de contrôle.</x:v>
      </x:c>
      <x:c r="F128" s="36" t="n">
        <x:v>370000</x:v>
      </x:c>
      <x:c r="G128" s="38" t="n">
        <x:v>43350</x:v>
      </x:c>
      <x:c r="H128" s="38" t="n">
        <x:v>43350</x:v>
      </x:c>
      <x:c r="I128" s="40" t="n">
        <x:v>60</x:v>
      </x:c>
      <x:c r="J128" s="33" t="str">
        <x:v>Marché</x:v>
      </x:c>
      <x:c r="K128" s="33" t="str"/>
      <x:c r="L128" s="33" t="str">
        <x:v>Révisable</x:v>
      </x:c>
      <x:c r="M128" s="33" t="str">
        <x:v>(01) Ain</x:v>
      </x:c>
      <x:c r="N128" s="33" t="str">
        <x:v>Oui</x:v>
      </x:c>
      <x:c r="O128" s="33" t="str">
        <x:v>data.gouv.fr_aife</x:v>
      </x:c>
      <x:c r="P128" s="33" t="str">
        <x:v>20182018S4111900</x:v>
      </x:c>
    </x:row>
    <x:row r="129">
      <x:c r="A129" s="33" t="str">
        <x:v>20182018T0008900</x:v>
      </x:c>
      <x:c r="B129" s="33" t="str">
        <x:v>MINARM / ESTM / EPA / ONAC - Office National des Anciens Combattants et victimes de guerre</x:v>
      </x:c>
      <x:c r="C129" s="33" t="str">
        <x:v>Carrion TP</x:v>
      </x:c>
      <x:c r="D129" s="33" t="str">
        <x:v>La présente consultation est relative aux lots n° 2 à 8 de lopération de réhabilitation du bâtiment daccueil du Mémorial national de la prison de Montluc. Le lot n°1 (travaux de désamiantage et étanchéité) est déjà attribué. - Déconstruct</x:v>
      </x:c>
      <x:c r="E129" s="33" t="str">
        <x:v>Travaux de démolition de bâtiments et travaux de terrassement.</x:v>
      </x:c>
      <x:c r="F129" s="36" t="n">
        <x:v>49623</x:v>
      </x:c>
      <x:c r="G129" s="38" t="n">
        <x:v>43354</x:v>
      </x:c>
      <x:c r="H129" s="38" t="n">
        <x:v>43354</x:v>
      </x:c>
      <x:c r="I129" s="40" t="n">
        <x:v>12</x:v>
      </x:c>
      <x:c r="J129" s="33" t="str">
        <x:v>Marché</x:v>
      </x:c>
      <x:c r="K129" s="33" t="str">
        <x:v>Procédure adaptée</x:v>
      </x:c>
      <x:c r="L129" s="33" t="str">
        <x:v>Ferme et actualisable</x:v>
      </x:c>
      <x:c r="M129" s="33" t="str">
        <x:v>(69) Rhône</x:v>
      </x:c>
      <x:c r="N129" s="33" t="str">
        <x:v>Oui</x:v>
      </x:c>
      <x:c r="O129" s="33" t="str">
        <x:v>data.gouv.fr_aife</x:v>
      </x:c>
      <x:c r="P129" s="33" t="str">
        <x:v>20182018T0008900</x:v>
      </x:c>
    </x:row>
    <x:row r="130">
      <x:c r="A130" s="33" t="str">
        <x:v>2018130013778100</x:v>
      </x:c>
      <x:c r="B130" s="33" t="str">
        <x:v>MINARM / SGA / SID / ESID Toulon - Etablissement du service d'infrastructure de la défense de Toulon - ESID Toulon</x:v>
      </x:c>
      <x:c r="C130" s="33" t="str">
        <x:v>CITAE</x:v>
      </x:c>
      <x:c r="D130" s="33" t="str">
        <x:v>Base navale de Toulon- Inventaires des produits dangereux sur des équipements portuaires</x:v>
      </x:c>
      <x:c r="E130" s="33" t="str">
        <x:v>Contrôle de la conformité aux normes environnementales.</x:v>
      </x:c>
      <x:c r="F130" s="36" t="n">
        <x:v>300000</x:v>
      </x:c>
      <x:c r="G130" s="38" t="n">
        <x:v>43355</x:v>
      </x:c>
      <x:c r="H130" s="38" t="n">
        <x:v>43355</x:v>
      </x:c>
      <x:c r="I130" s="40" t="n">
        <x:v>48</x:v>
      </x:c>
      <x:c r="J130" s="33" t="str"/>
      <x:c r="K130" s="33" t="str"/>
      <x:c r="L130" s="33" t="str"/>
      <x:c r="M130" s="33" t="str">
        <x:v>(83) Var</x:v>
      </x:c>
      <x:c r="N130" s="33" t="str">
        <x:v>Oui</x:v>
      </x:c>
      <x:c r="O130" s="33" t="str">
        <x:v>data.gouv.fr_aife</x:v>
      </x:c>
      <x:c r="P130" s="33" t="str">
        <x:v>2018130013778100</x:v>
      </x:c>
    </x:row>
    <x:row r="131">
      <x:c r="A131" s="33" t="str">
        <x:v>20182018F1889900</x:v>
      </x:c>
      <x:c r="B131" s="33" t="str">
        <x:v>MINARM / ESTM / EPA / SHOM - Service hydrographique et océanographique de la Marine</x:v>
      </x:c>
      <x:c r="C131" s="33" t="str">
        <x:v>EQUIPAGES</x:v>
      </x:c>
      <x:c r="D131" s="33" t="str">
        <x:v>Fourniture de 52 modules 40G QSFP SR BIDI</x:v>
      </x:c>
      <x:c r="E131" s="33" t="str">
        <x:v>Interfaces de réseau.</x:v>
      </x:c>
      <x:c r="F131" s="36" t="n">
        <x:v>11140</x:v>
      </x:c>
      <x:c r="G131" s="38" t="n">
        <x:v>43357</x:v>
      </x:c>
      <x:c r="H131" s="38" t="n">
        <x:v>43357</x:v>
      </x:c>
      <x:c r="I131" s="40" t="n">
        <x:v>1</x:v>
      </x:c>
      <x:c r="J131" s="33" t="str">
        <x:v>Marché</x:v>
      </x:c>
      <x:c r="K131" s="33" t="str">
        <x:v>Procédure adaptée</x:v>
      </x:c>
      <x:c r="L131" s="33" t="str">
        <x:v>Ferme</x:v>
      </x:c>
      <x:c r="M131" s="33" t="str">
        <x:v>(29) Finistère</x:v>
      </x:c>
      <x:c r="N131" s="33" t="str">
        <x:v>Oui</x:v>
      </x:c>
      <x:c r="O131" s="33" t="str">
        <x:v>data.gouv.fr_aife</x:v>
      </x:c>
      <x:c r="P131" s="33" t="str">
        <x:v>20182018F1889900</x:v>
      </x:c>
    </x:row>
    <x:row r="132">
      <x:c r="A132" s="33" t="str">
        <x:v>2018150896145600</x:v>
      </x:c>
      <x:c r="B132" s="33" t="str">
        <x:v>MINARM / SGA / SID / DID SDS - Direction d'infrastructure de la défense de Saint-Denis - DID Saint Denis</x:v>
      </x:c>
      <x:c r="C132" s="33" t="str">
        <x:v>SOC CLAIN CONSTRUCTION BATIMENT</x:v>
      </x:c>
      <x:c r="D132" s="33" t="str">
        <x:v>- TRAVAUX - 1 - IDENTIFICATION DE L'ORGANISME QUI PASSE LE MARCHE : - SERVICE D'INFRASTRUCTURE DE LA DEFENSE - DIRECTION D'INFRASTRUCTURE DE LA DEFENSE DE SAINT DENIS - Adresse postale : - Caserne Lambert - Avenue du chef de BTN Lambert BP 67709 - 978...</x:v>
      </x:c>
      <x:c r="E132" s="33" t="str">
        <x:v>Travaux de menuiserie.</x:v>
      </x:c>
      <x:c r="F132" s="36" t="n">
        <x:v>75016</x:v>
      </x:c>
      <x:c r="G132" s="38" t="n">
        <x:v>43357</x:v>
      </x:c>
      <x:c r="H132" s="38" t="n">
        <x:v>43357</x:v>
      </x:c>
      <x:c r="I132" s="40" t="n">
        <x:v>10</x:v>
      </x:c>
      <x:c r="J132" s="33" t="str"/>
      <x:c r="K132" s="33" t="str"/>
      <x:c r="L132" s="33" t="str"/>
      <x:c r="M132" s="33" t="str">
        <x:v>(974) Réunion</x:v>
      </x:c>
      <x:c r="N132" s="33" t="str">
        <x:v>Oui</x:v>
      </x:c>
      <x:c r="O132" s="33" t="str">
        <x:v>data.gouv.fr_aife</x:v>
      </x:c>
      <x:c r="P132" s="33" t="str">
        <x:v>2018150896145600</x:v>
      </x:c>
    </x:row>
    <x:row r="133">
      <x:c r="A133" s="33" t="str">
        <x:v>20182021S2142000</x:v>
      </x:c>
      <x:c r="B133" s="33" t="str">
        <x:v>MINARM / ESTM / EPA / ONAC - Office National des Anciens Combattants et victimes de guerre</x:v>
      </x:c>
      <x:c r="C133" s="33" t="str">
        <x:v>M. Yohann Temaruarii FLORENTIN, architecte HMONP</x:v>
      </x:c>
      <x:c r="D133" s="33" t="str">
        <x:v>Mission de maîtrise d’œuvre pour la réhabilitation du bâtiment et de la clôture du service de l’ONACVG en Polynésie Française (Papeete)</x:v>
      </x:c>
      <x:c r="E133" s="33" t="str">
        <x:v>Services d'architecte pour les bâtiments.</x:v>
      </x:c>
      <x:c r="F133" s="36" t="n">
        <x:v>22000</x:v>
      </x:c>
      <x:c r="G133" s="38" t="n">
        <x:v>43357</x:v>
      </x:c>
      <x:c r="H133" s="38" t="n">
        <x:v>43357</x:v>
      </x:c>
      <x:c r="I133" s="40" t="n">
        <x:v>36</x:v>
      </x:c>
      <x:c r="J133" s="33" t="str">
        <x:v>Marché</x:v>
      </x:c>
      <x:c r="K133" s="33" t="str">
        <x:v>Procédure adaptée</x:v>
      </x:c>
      <x:c r="L133" s="33" t="str">
        <x:v>Ferme et actualisable</x:v>
      </x:c>
      <x:c r="M133" s="33" t="str">
        <x:v>(987) Polynésie Française</x:v>
      </x:c>
      <x:c r="N133" s="33" t="str">
        <x:v>Oui</x:v>
      </x:c>
      <x:c r="O133" s="33" t="str">
        <x:v>data.gouv.fr_aife</x:v>
      </x:c>
      <x:c r="P133" s="33" t="str">
        <x:v>20182021S2142000</x:v>
      </x:c>
    </x:row>
    <x:row r="134">
      <x:c r="A134" s="33" t="str">
        <x:v>20182018S8002100</x:v>
      </x:c>
      <x:c r="B134" s="33" t="str">
        <x:v>MINARM / ESTM / EPA / Ecole Polytechnique - Ecole Polytechnique</x:v>
      </x:c>
      <x:c r="C134" s="33" t="str">
        <x:v>MOTT MACDONALD</x:v>
      </x:c>
      <x:c r="D134" s="33" t="str">
        <x:v>Missions d'assistance à maîtrise d'ouvrage pour la réalisation et le suivi de missions de programmations du projet de rénovation de l'Ecole polytechnique implantée sur le site de Palaiseau</x:v>
      </x:c>
      <x:c r="E134" s="33" t="str">
        <x:v>Services immobiliers.</x:v>
      </x:c>
      <x:c r="F134" s="36" t="n">
        <x:v>376175</x:v>
      </x:c>
      <x:c r="G134" s="38" t="n">
        <x:v>43360</x:v>
      </x:c>
      <x:c r="H134" s="38" t="n">
        <x:v>43360</x:v>
      </x:c>
      <x:c r="I134" s="40" t="n">
        <x:v>42</x:v>
      </x:c>
      <x:c r="J134" s="33" t="str">
        <x:v>Marché</x:v>
      </x:c>
      <x:c r="K134" s="33" t="str"/>
      <x:c r="L134" s="33" t="str">
        <x:v>Révisable</x:v>
      </x:c>
      <x:c r="M134" s="33" t="str">
        <x:v>(91) Essonne</x:v>
      </x:c>
      <x:c r="N134" s="33" t="str">
        <x:v>Oui</x:v>
      </x:c>
      <x:c r="O134" s="33" t="str">
        <x:v>data.gouv.fr_aife</x:v>
      </x:c>
      <x:c r="P134" s="33" t="str">
        <x:v>20182018S8002100</x:v>
      </x:c>
    </x:row>
    <x:row r="135">
      <x:c r="A135" s="33" t="str">
        <x:v>2018150895709600</x:v>
      </x:c>
      <x:c r="B135" s="33" t="str">
        <x:v>MINARM / SGA / SID / DID SDS - Direction d'infrastructure de la défense de Saint-Denis - DID Saint Denis</x:v>
      </x:c>
      <x:c r="C135" s="33" t="str">
        <x:v>MOELLONAGE BATIMENTS TRAV PUBLICS SARL</x:v>
      </x:c>
      <x:c r="D135" s="33" t="str">
        <x:v>TRAVAUX - 1 - IDENTIFICATION DE LORGANISME QUI PASSE LE MARCHE : - SERVICE DINFRASTRUCTURE DE LA DEFENSE - DIRECTION DINFRASTRUCTURE DE LA DEFENSE DE SAINT DENIS - Adresse postale : - Caserne Lambert - Avenue du chef de BTN Lambert BP 67709 - 97804 SA...</x:v>
      </x:c>
      <x:c r="E135" s="33" t="str">
        <x:v>Murs de soutènement.</x:v>
      </x:c>
      <x:c r="F135" s="36" t="n">
        <x:v>99270</x:v>
      </x:c>
      <x:c r="G135" s="38" t="n">
        <x:v>43362</x:v>
      </x:c>
      <x:c r="H135" s="38" t="n">
        <x:v>43362</x:v>
      </x:c>
      <x:c r="I135" s="40" t="n">
        <x:v>4</x:v>
      </x:c>
      <x:c r="J135" s="33" t="str"/>
      <x:c r="K135" s="33" t="str"/>
      <x:c r="L135" s="33" t="str"/>
      <x:c r="M135" s="33" t="str">
        <x:v>(19) Corrèze</x:v>
      </x:c>
      <x:c r="N135" s="33" t="str">
        <x:v>Oui</x:v>
      </x:c>
      <x:c r="O135" s="33" t="str">
        <x:v>data.gouv.fr_aife</x:v>
      </x:c>
      <x:c r="P135" s="33" t="str">
        <x:v>2018150895709600</x:v>
      </x:c>
    </x:row>
    <x:row r="136">
      <x:c r="A136" s="33" t="str">
        <x:v>20182018T8000100</x:v>
      </x:c>
      <x:c r="B136" s="33" t="str">
        <x:v>MINARM / ESTM / EPA / CIA OAN - Cercle Interarmées d'Orléans-Bricy</x:v>
      </x:c>
      <x:c r="C136" s="33" t="str">
        <x:v>SAS GIMONET</x:v>
      </x:c>
      <x:c r="D136" s="33" t="str">
        <x:v>Remise en état de chambre d’hôtellerie sur le site de base aérienne 123 à Boulay-les-Barres</x:v>
      </x:c>
      <x:c r="E136" s="33" t="str">
        <x:v>Travaux de remise en état.</x:v>
      </x:c>
      <x:c r="F136" s="36" t="n">
        <x:v>121194</x:v>
      </x:c>
      <x:c r="G136" s="38" t="n">
        <x:v>43363</x:v>
      </x:c>
      <x:c r="H136" s="38" t="n">
        <x:v>43363</x:v>
      </x:c>
      <x:c r="I136" s="40" t="n">
        <x:v>48</x:v>
      </x:c>
      <x:c r="J136" s="33" t="str">
        <x:v>Marché</x:v>
      </x:c>
      <x:c r="K136" s="33" t="str">
        <x:v>Procédure adaptée</x:v>
      </x:c>
      <x:c r="L136" s="33" t="str">
        <x:v>Ferme</x:v>
      </x:c>
      <x:c r="M136" s="33" t="str">
        <x:v>(45) Loiret</x:v>
      </x:c>
      <x:c r="N136" s="33" t="str">
        <x:v>Oui</x:v>
      </x:c>
      <x:c r="O136" s="33" t="str">
        <x:v>data.gouv.fr_aife</x:v>
      </x:c>
      <x:c r="P136" s="33" t="str">
        <x:v>20182018T8000100</x:v>
      </x:c>
    </x:row>
    <x:row r="137">
      <x:c r="A137" s="33" t="str">
        <x:v>20182018F1912100</x:v>
      </x:c>
      <x:c r="B137" s="33" t="str">
        <x:v>MINARM / ESTM / EPA / Ecole Polytechnique - Ecole Polytechnique</x:v>
      </x:c>
      <x:c r="C137" s="33" t="str">
        <x:v>FORMULACTION</x:v>
      </x:c>
      <x:c r="D137" s="33" t="str">
        <x:v>Acquisition dun appareil de viscosimétrie en vue deffectuer des mesures de viscosité de fluides chargées de particules pour l'Ecole polytechnique</x:v>
      </x:c>
      <x:c r="E137" s="33" t="str">
        <x:v>Services de recherche et développement expérimental.</x:v>
      </x:c>
      <x:c r="F137" s="36" t="n">
        <x:v>39425</x:v>
      </x:c>
      <x:c r="G137" s="38" t="n">
        <x:v>43364</x:v>
      </x:c>
      <x:c r="H137" s="38" t="n">
        <x:v>43364</x:v>
      </x:c>
      <x:c r="I137" s="40" t="n">
        <x:v>3</x:v>
      </x:c>
      <x:c r="J137" s="33" t="str">
        <x:v>Marché</x:v>
      </x:c>
      <x:c r="K137" s="33" t="str">
        <x:v>Procédure adaptée</x:v>
      </x:c>
      <x:c r="L137" s="33" t="str">
        <x:v>Ferme</x:v>
      </x:c>
      <x:c r="M137" s="33" t="str">
        <x:v>(91) Essonne</x:v>
      </x:c>
      <x:c r="N137" s="33" t="str">
        <x:v>Oui</x:v>
      </x:c>
      <x:c r="O137" s="33" t="str">
        <x:v>data.gouv.fr_aife</x:v>
      </x:c>
      <x:c r="P137" s="33" t="str">
        <x:v>20182018F1912100</x:v>
      </x:c>
    </x:row>
    <x:row r="138">
      <x:c r="A138" s="33" t="str">
        <x:v>2018150898015600</x:v>
      </x:c>
      <x:c r="B138" s="33" t="str">
        <x:v>MINARM / SGA / SID / ESID Metz - Etablissement du service d'infrastructure de la défense de Metz - ESID Metz</x:v>
      </x:c>
      <x:c r="C138" s="33" t="str">
        <x:v>RENOFORS FRANCE</x:v>
      </x:c>
      <x:c r="D138" s="33" t="str">
        <x:v>2018-USID02-18S/855 - STRASBOURG (BAS-RHIN) -11 rue Brûlée -Reprise de la façade côté ENA</x:v>
      </x:c>
      <x:c r="E138" s="33" t="str">
        <x:v>Travaux de protection des surfaces.</x:v>
      </x:c>
      <x:c r="F138" s="36" t="n">
        <x:v>78900</x:v>
      </x:c>
      <x:c r="G138" s="38" t="n">
        <x:v>43371</x:v>
      </x:c>
      <x:c r="H138" s="38" t="n">
        <x:v>43371</x:v>
      </x:c>
      <x:c r="I138" s="40" t="n">
        <x:v>2</x:v>
      </x:c>
      <x:c r="J138" s="33" t="str"/>
      <x:c r="K138" s="33" t="str"/>
      <x:c r="L138" s="33" t="str"/>
      <x:c r="M138" s="33" t="str">
        <x:v>(57) Moselle</x:v>
      </x:c>
      <x:c r="N138" s="33" t="str">
        <x:v>Oui</x:v>
      </x:c>
      <x:c r="O138" s="33" t="str">
        <x:v>data.gouv.fr_aife</x:v>
      </x:c>
      <x:c r="P138" s="33" t="str">
        <x:v>2018150898015600</x:v>
      </x:c>
    </x:row>
    <x:row r="139">
      <x:c r="A139" s="33" t="str">
        <x:v>2018130013877700</x:v>
      </x:c>
      <x:c r="B139" s="33" t="str">
        <x:v>"MINARM / SCA / PFC RBT / CIEC - Centre interarmées du soutien équipements commissariat"""""</x:v>
      </x:c>
      <x:c r="C139" s="33" t="str">
        <x:v>LEO MINOR</x:v>
      </x:c>
      <x:c r="D139" s="33" t="str">
        <x:v>Fabrication de sous-vêtement flamme retardante zone chaude caleçons et gilets</x:v>
      </x:c>
      <x:c r="E139" s="33" t="str">
        <x:v>Sous-vêtements.</x:v>
      </x:c>
      <x:c r="F139" s="36" t="n">
        <x:v>156000</x:v>
      </x:c>
      <x:c r="G139" s="38" t="n">
        <x:v>43375</x:v>
      </x:c>
      <x:c r="H139" s="38" t="n">
        <x:v>43375</x:v>
      </x:c>
      <x:c r="I139" s="40" t="n">
        <x:v>48</x:v>
      </x:c>
      <x:c r="J139" s="33" t="str"/>
      <x:c r="K139" s="33" t="str"/>
      <x:c r="L139" s="33" t="str"/>
      <x:c r="M139" s="33" t="str">
        <x:v>(78) Yvelines</x:v>
      </x:c>
      <x:c r="N139" s="33" t="str">
        <x:v>Oui</x:v>
      </x:c>
      <x:c r="O139" s="33" t="str">
        <x:v>data.gouv.fr_aife</x:v>
      </x:c>
      <x:c r="P139" s="33" t="str">
        <x:v>2018130013877700</x:v>
      </x:c>
    </x:row>
    <x:row r="140">
      <x:c r="A140" s="33" t="str">
        <x:v>2018130013836300</x:v>
      </x:c>
      <x:c r="B140" s="33" t="str">
        <x:v>MINARM / SGA / DSNJ / ESN SO - Etablissement du service national Sud-Ouest - ESN SO</x:v>
      </x:c>
      <x:c r="C140" s="33" t="str">
        <x:v>OTIS</x:v>
      </x:c>
      <x:c r="D140" s="33" t="str">
        <x:v>réalisation de prestations de maintenances préventive et corrective des ascenseurs, d'élévateurs pour personnes à mobilité réduite, de monte-charges de plates-formes élévatrices, de trottoirs roulants, d'escaliers mécaniques de prestations associées, de...</x:v>
      </x:c>
      <x:c r="E140" s="33" t="str"/>
      <x:c r="F140" s="36" t="n">
        <x:v>1000000</x:v>
      </x:c>
      <x:c r="G140" s="38" t="n">
        <x:v>43376</x:v>
      </x:c>
      <x:c r="H140" s="38" t="n">
        <x:v>43376</x:v>
      </x:c>
      <x:c r="I140" s="40" t="n">
        <x:v>48</x:v>
      </x:c>
      <x:c r="J140" s="33" t="str"/>
      <x:c r="K140" s="33" t="str"/>
      <x:c r="L140" s="33" t="str"/>
      <x:c r="M140" s="33" t="str">
        <x:v>(33) Gironde</x:v>
      </x:c>
      <x:c r="N140" s="33" t="str">
        <x:v>Oui</x:v>
      </x:c>
      <x:c r="O140" s="33" t="str">
        <x:v>data.gouv.fr_aife</x:v>
      </x:c>
      <x:c r="P140" s="33" t="str">
        <x:v>2018130013836300</x:v>
      </x:c>
    </x:row>
    <x:row r="141">
      <x:c r="A141" s="33" t="str">
        <x:v>20182018F1912200</x:v>
      </x:c>
      <x:c r="B141" s="33" t="str">
        <x:v>MINARM / ESTM / EPA / Ecole Polytechnique - Ecole Polytechnique</x:v>
      </x:c>
      <x:c r="C141" s="33" t="str">
        <x:v>Darktrace Ltd</x:v>
      </x:c>
      <x:c r="D141" s="33" t="str">
        <x:v>La fourniture, lintégration, et la mise en production dune solution de cyberdéfense pour l'Ecole polytechnique -</x:v>
      </x:c>
      <x:c r="E141" s="33" t="str">
        <x:v>Logiciels et systèmes d'information.</x:v>
      </x:c>
      <x:c r="F141" s="36" t="n">
        <x:v>144000</x:v>
      </x:c>
      <x:c r="G141" s="38" t="n">
        <x:v>43376</x:v>
      </x:c>
      <x:c r="H141" s="38" t="n">
        <x:v>43376</x:v>
      </x:c>
      <x:c r="I141" s="40" t="n">
        <x:v>36</x:v>
      </x:c>
      <x:c r="J141" s="33" t="str">
        <x:v>Marché</x:v>
      </x:c>
      <x:c r="K141" s="33" t="str">
        <x:v>Procédure adaptée</x:v>
      </x:c>
      <x:c r="L141" s="33" t="str">
        <x:v>Révisable</x:v>
      </x:c>
      <x:c r="M141" s="33" t="str">
        <x:v>(91) Essonne</x:v>
      </x:c>
      <x:c r="N141" s="33" t="str">
        <x:v>Oui</x:v>
      </x:c>
      <x:c r="O141" s="33" t="str">
        <x:v>data.gouv.fr_aife</x:v>
      </x:c>
      <x:c r="P141" s="33" t="str">
        <x:v>20182018F1912200</x:v>
      </x:c>
    </x:row>
    <x:row r="142">
      <x:c r="A142" s="33" t="str">
        <x:v>2018130013829400</x:v>
      </x:c>
      <x:c r="B142" s="33" t="str">
        <x:v>MINARM / SGA / SID / ESID Toulon - Etablissement du service d'infrastructure de la défense de Toulon - ESID Toulon</x:v>
      </x:c>
      <x:c r="C142" s="33" t="str">
        <x:v>ELECTRICITE INDUSTRIELLE J. P. FAUCHE</x:v>
      </x:c>
      <x:c r="D142" s="33" t="str">
        <x:v>Base navale de Toulon- Vérification et maintenance des systèmes incendie</x:v>
      </x:c>
      <x:c r="E142" s="33" t="str">
        <x:v>Travaux d'installation de dispositifs de prévention contre les incendies.</x:v>
      </x:c>
      <x:c r="F142" s="36" t="n">
        <x:v>5500000</x:v>
      </x:c>
      <x:c r="G142" s="38" t="n">
        <x:v>43377</x:v>
      </x:c>
      <x:c r="H142" s="38" t="n">
        <x:v>43377</x:v>
      </x:c>
      <x:c r="I142" s="40" t="n">
        <x:v>48</x:v>
      </x:c>
      <x:c r="J142" s="33" t="str"/>
      <x:c r="K142" s="33" t="str"/>
      <x:c r="L142" s="33" t="str"/>
      <x:c r="M142" s="33" t="str">
        <x:v>(83) Var</x:v>
      </x:c>
      <x:c r="N142" s="33" t="str">
        <x:v>Oui</x:v>
      </x:c>
      <x:c r="O142" s="33" t="str">
        <x:v>data.gouv.fr_aife</x:v>
      </x:c>
      <x:c r="P142" s="33" t="str">
        <x:v>2018130013829400</x:v>
      </x:c>
    </x:row>
    <x:row r="143">
      <x:c r="A143" s="33" t="str">
        <x:v>2018120005785100</x:v>
      </x:c>
      <x:c r="B143" s="33" t="str">
        <x:v>MINARM / SGA / SID / ESID Metz - Etablissement du service d'infrastructure de la défense de Metz - ESID Metz</x:v>
      </x:c>
      <x:c r="C143" s="33" t="str">
        <x:v>SUEZ RR IWS REMEDIATION FRANCE</x:v>
      </x:c>
      <x:c r="D143" s="33" t="str">
        <x:v>RÉALISATION DE SCHÉMAS CONCEPTUELS DANS LE CADRE DOPÉRATIONS DOMANIALES ET/OU DINFRASTRUCTURE - RÉALISATION DU SCHÉMA CONCEPTUEL DES EMPRISES DE LA BASE AÉRIENNE 102 À DIJON (21) - - Communes dOuges, de Bretenière, Sennecey-lès-Dijon, Neuilly-l</x:v>
      </x:c>
      <x:c r="E143" s="33" t="str">
        <x:v>Etudes de faisabilité, service de conseil , analyse.</x:v>
      </x:c>
      <x:c r="F143" s="36" t="n">
        <x:v>139779</x:v>
      </x:c>
      <x:c r="G143" s="38" t="n">
        <x:v>43377</x:v>
      </x:c>
      <x:c r="H143" s="38" t="n">
        <x:v>43377</x:v>
      </x:c>
      <x:c r="I143" s="40" t="n">
        <x:v>6</x:v>
      </x:c>
      <x:c r="J143" s="33" t="str"/>
      <x:c r="K143" s="33" t="str"/>
      <x:c r="L143" s="33" t="str">
        <x:v>Révisable</x:v>
      </x:c>
      <x:c r="M143" s="33" t="str">
        <x:v>(57) Moselle</x:v>
      </x:c>
      <x:c r="N143" s="33" t="str">
        <x:v>Oui</x:v>
      </x:c>
      <x:c r="O143" s="33" t="str">
        <x:v>data.gouv.fr_aife</x:v>
      </x:c>
      <x:c r="P143" s="33" t="str">
        <x:v>2018120005785100</x:v>
      </x:c>
    </x:row>
    <x:row r="144">
      <x:c r="A144" s="33" t="str">
        <x:v>2018100013073200</x:v>
      </x:c>
      <x:c r="B144" s="33" t="str">
        <x:v>MINARM / SSF / DSSF Toulon - Direction du service de soutien de la flotte de Toulon - DSSF Toulon</x:v>
      </x:c>
      <x:c r="C144" s="33" t="str">
        <x:v>LE LITTORAL</x:v>
      </x:c>
      <x:c r="D144" s="33" t="str">
        <x:v>Accord cadre N° 2016 M 16 T 20 010 relatif à l’approvisionnement de matériels électriques et électroniques pour le maintien en condition opérationnelle (MCO) des Eléments de Force Maritime (EFM) et des Eléments de Force Armées (EFA). - Marché subséquent...</x:v>
      </x:c>
      <x:c r="E144" s="33" t="str">
        <x:v>Pièces électroniques et électriques de rechange pour navires de guerre.</x:v>
      </x:c>
      <x:c r="F144" s="36" t="n">
        <x:v>7801</x:v>
      </x:c>
      <x:c r="G144" s="38" t="n">
        <x:v>43378</x:v>
      </x:c>
      <x:c r="H144" s="38" t="n">
        <x:v>43378</x:v>
      </x:c>
      <x:c r="I144" s="40" t="n">
        <x:v>7</x:v>
      </x:c>
      <x:c r="J144" s="33" t="str"/>
      <x:c r="K144" s="33" t="str"/>
      <x:c r="L144" s="33" t="str"/>
      <x:c r="M144" s="33" t="str">
        <x:v>(83) Var</x:v>
      </x:c>
      <x:c r="N144" s="33" t="str">
        <x:v>Oui</x:v>
      </x:c>
      <x:c r="O144" s="33" t="str">
        <x:v>data.gouv.fr_aife</x:v>
      </x:c>
      <x:c r="P144" s="33" t="str">
        <x:v>2018100013073200</x:v>
      </x:c>
    </x:row>
    <x:row r="145">
      <x:c r="A145" s="33" t="str">
        <x:v>2018150901085500</x:v>
      </x:c>
      <x:c r="B145" s="33" t="str">
        <x:v>MINARM / SGA / SID / ESID Lyon - Etablissement du service d'infrastructure de la défense de Lyon - ESID Lyon</x:v>
      </x:c>
      <x:c r="C145" s="33" t="str">
        <x:v>AGENCEMENT POUR L'HABITAT</x:v>
      </x:c>
      <x:c r="D145" s="33" t="str">
        <x:v>Le Cannet des Maures (83) Base Ecole Général LEJAY – Réfection des salles communes - Bâtiments 004 et 005.</x:v>
      </x:c>
      <x:c r="E145" s="33" t="str">
        <x:v>Travaux de réfection.</x:v>
      </x:c>
      <x:c r="F145" s="36" t="n">
        <x:v>48002</x:v>
      </x:c>
      <x:c r="G145" s="38" t="n">
        <x:v>43381</x:v>
      </x:c>
      <x:c r="H145" s="38" t="n">
        <x:v>43381</x:v>
      </x:c>
      <x:c r="I145" s="40" t="n">
        <x:v>3</x:v>
      </x:c>
      <x:c r="J145" s="33" t="str"/>
      <x:c r="K145" s="33" t="str"/>
      <x:c r="L145" s="33" t="str"/>
      <x:c r="M145" s="33" t="str">
        <x:v>(69) Rhône</x:v>
      </x:c>
      <x:c r="N145" s="33" t="str">
        <x:v>Oui</x:v>
      </x:c>
      <x:c r="O145" s="33" t="str">
        <x:v>data.gouv.fr_aife</x:v>
      </x:c>
      <x:c r="P145" s="33" t="str">
        <x:v>2018150901085500</x:v>
      </x:c>
    </x:row>
    <x:row r="146">
      <x:c r="A146" s="33" t="str">
        <x:v>20182019S0737700</x:v>
      </x:c>
      <x:c r="B146" s="33" t="str">
        <x:v>MINARM / ESTM / EPA / MAE - Musée de l'Air et de l'Espace</x:v>
      </x:c>
      <x:c r="C146" s="33" t="str">
        <x:v>ARCHITECTURE MAITRISE PROJETS IMMOBILIER</x:v>
      </x:c>
      <x:c r="D146" s="33" t="str">
        <x:v>Marché de maîtrise d’œuvre relatif au suivi des travaux pour la réalisation d’adaptations, de décloisonnements et d’aménagements des locaux à usage de bureaux au musée de l’Air et de l’Espace</x:v>
      </x:c>
      <x:c r="E146" s="33" t="str">
        <x:v>Services d'architecture.</x:v>
      </x:c>
      <x:c r="F146" s="36" t="n">
        <x:v>22300</x:v>
      </x:c>
      <x:c r="G146" s="38" t="n">
        <x:v>43382</x:v>
      </x:c>
      <x:c r="H146" s="38" t="n">
        <x:v>43382</x:v>
      </x:c>
      <x:c r="I146" s="40" t="n">
        <x:v>5</x:v>
      </x:c>
      <x:c r="J146" s="33" t="str">
        <x:v>Marché</x:v>
      </x:c>
      <x:c r="K146" s="33" t="str"/>
      <x:c r="L146" s="33" t="str">
        <x:v>Ferme</x:v>
      </x:c>
      <x:c r="M146" s="33" t="str">
        <x:v>(93) Seine-Saint-Denis</x:v>
      </x:c>
      <x:c r="N146" s="33" t="str">
        <x:v>Oui</x:v>
      </x:c>
      <x:c r="O146" s="33" t="str">
        <x:v>data.gouv.fr_aife</x:v>
      </x:c>
      <x:c r="P146" s="33" t="str">
        <x:v>20182019S0737700</x:v>
      </x:c>
    </x:row>
    <x:row r="147">
      <x:c r="A147" s="33" t="str">
        <x:v>2018100013078000</x:v>
      </x:c>
      <x:c r="B147" s="33" t="str">
        <x:v>MINARM / SSF / DSSF Toulon - Direction du service de soutien de la flotte de Toulon - DSSF Toulon</x:v>
      </x:c>
      <x:c r="C147" s="33" t="str">
        <x:v>LOGNAV-CM</x:v>
      </x:c>
      <x:c r="D147" s="33" t="str">
        <x:v>Accord cadre N° 2016 M 16 T 20 010 relatif à l’approvisionnement de matériels électriques et électroniques pour le maintien en condition opérationnelle (MCO) des Eléments de Force Maritime (EFM) et des Eléments de Force Armées (EFA). - Marché subséquent...</x:v>
      </x:c>
      <x:c r="E147" s="33" t="str">
        <x:v>Pièces électroniques et électriques de rechange pour navires de guerre.</x:v>
      </x:c>
      <x:c r="F147" s="36" t="n">
        <x:v>105948</x:v>
      </x:c>
      <x:c r="G147" s="38" t="n">
        <x:v>43382</x:v>
      </x:c>
      <x:c r="H147" s="38" t="n">
        <x:v>43382</x:v>
      </x:c>
      <x:c r="I147" s="40" t="n">
        <x:v>12</x:v>
      </x:c>
      <x:c r="J147" s="33" t="str"/>
      <x:c r="K147" s="33" t="str"/>
      <x:c r="L147" s="33" t="str"/>
      <x:c r="M147" s="33" t="str">
        <x:v>(83) Var</x:v>
      </x:c>
      <x:c r="N147" s="33" t="str">
        <x:v>Oui</x:v>
      </x:c>
      <x:c r="O147" s="33" t="str">
        <x:v>data.gouv.fr_aife</x:v>
      </x:c>
      <x:c r="P147" s="33" t="str">
        <x:v>2018100013078000</x:v>
      </x:c>
    </x:row>
    <x:row r="148">
      <x:c r="A148" s="33" t="str">
        <x:v>2018100013085500</x:v>
      </x:c>
      <x:c r="B148" s="33" t="str">
        <x:v>MINARM / SSF / DSSF Toulon - Direction du service de soutien de la flotte de Toulon - DSSF Toulon</x:v>
      </x:c>
      <x:c r="C148" s="33" t="str">
        <x:v>LOGNAV-CM</x:v>
      </x:c>
      <x:c r="D148" s="33" t="str">
        <x:v>Accord cadre N° 2015M15T20052 relatif à l’approvisionnement de matériels de filtration pour le maintien en condition opérationnelle (MCO) des Eléments de Force Maritime (EFM) et des Eléments de Force Armées (EFA). - Marché subséquent : N° K18T2005239 re...</x:v>
      </x:c>
      <x:c r="E148" s="33" t="str">
        <x:v>Filtres à huile, filtres à essence et filtres à air.</x:v>
      </x:c>
      <x:c r="F148" s="36" t="n">
        <x:v>5718</x:v>
      </x:c>
      <x:c r="G148" s="38" t="n">
        <x:v>43382</x:v>
      </x:c>
      <x:c r="H148" s="38" t="n">
        <x:v>43382</x:v>
      </x:c>
      <x:c r="I148" s="40" t="n">
        <x:v>4</x:v>
      </x:c>
      <x:c r="J148" s="33" t="str"/>
      <x:c r="K148" s="33" t="str"/>
      <x:c r="L148" s="33" t="str"/>
      <x:c r="M148" s="33" t="str">
        <x:v>(83) Var</x:v>
      </x:c>
      <x:c r="N148" s="33" t="str">
        <x:v>Oui</x:v>
      </x:c>
      <x:c r="O148" s="33" t="str">
        <x:v>data.gouv.fr_aife</x:v>
      </x:c>
      <x:c r="P148" s="33" t="str">
        <x:v>2018100013085500</x:v>
      </x:c>
    </x:row>
    <x:row r="149">
      <x:c r="A149" s="33" t="str">
        <x:v>2018100013086500</x:v>
      </x:c>
      <x:c r="B149" s="33" t="str">
        <x:v>MINARM / SSF / DSSF Toulon - Direction du service de soutien de la flotte de Toulon - DSSF Toulon</x:v>
      </x:c>
      <x:c r="C149" s="33" t="str">
        <x:v>LOGNAV-CM</x:v>
      </x:c>
      <x:c r="D149" s="33" t="str">
        <x:v>AC M16T20 015 relatif à l’approvisionnement de fourniture de matériels de mesure et de contrôle nécessaires au maintien en condition opérationnelle (MCO) des Eléments de Force Maritime (EFM) et des Eléments de Force Armées (EFA). -</x:v>
      </x:c>
      <x:c r="E149" s="33" t="str"/>
      <x:c r="F149" s="36" t="n">
        <x:v>4867</x:v>
      </x:c>
      <x:c r="G149" s="38" t="n">
        <x:v>43382</x:v>
      </x:c>
      <x:c r="H149" s="38" t="n">
        <x:v>43382</x:v>
      </x:c>
      <x:c r="I149" s="40" t="n">
        <x:v>12</x:v>
      </x:c>
      <x:c r="J149" s="33" t="str"/>
      <x:c r="K149" s="33" t="str"/>
      <x:c r="L149" s="33" t="str"/>
      <x:c r="M149" s="33" t="str">
        <x:v>(83) Var</x:v>
      </x:c>
      <x:c r="N149" s="33" t="str">
        <x:v>Oui</x:v>
      </x:c>
      <x:c r="O149" s="33" t="str">
        <x:v>data.gouv.fr_aife</x:v>
      </x:c>
      <x:c r="P149" s="33" t="str">
        <x:v>2018100013086500</x:v>
      </x:c>
    </x:row>
    <x:row r="150">
      <x:c r="A150" s="33" t="str">
        <x:v>2018150903505600</x:v>
      </x:c>
      <x:c r="B150" s="33" t="str">
        <x:v>MINARM / SCA / PFAT - Plate-forme affrètement et transport</x:v>
      </x:c>
      <x:c r="C150" s="33" t="str">
        <x:v>SCHENKER FRANCE</x:v>
      </x:c>
      <x:c r="D150" s="33" t="str">
        <x:v>Le présent marché a pour objet la location de deux (2) tracteurs routiers et de quatre (4) semi-remorques avec chauffeurs au profit de l’Etablissement Logistique du Commissariat des Armées (ELOCA) de Châtres (10 - Aube). - Cette location doit permettre ...</x:v>
      </x:c>
      <x:c r="E150" s="33" t="str">
        <x:v>Véhicules à moteur.</x:v>
      </x:c>
      <x:c r="F150" s="36" t="n">
        <x:v>78200</x:v>
      </x:c>
      <x:c r="G150" s="38" t="n">
        <x:v>43382</x:v>
      </x:c>
      <x:c r="H150" s="38" t="n">
        <x:v>43382</x:v>
      </x:c>
      <x:c r="I150" s="40" t="n">
        <x:v>6</x:v>
      </x:c>
      <x:c r="J150" s="33" t="str"/>
      <x:c r="K150" s="33" t="str"/>
      <x:c r="L150" s="33" t="str"/>
      <x:c r="M150" s="33" t="str">
        <x:v>(78) Yvelines</x:v>
      </x:c>
      <x:c r="N150" s="33" t="str">
        <x:v>Oui</x:v>
      </x:c>
      <x:c r="O150" s="33" t="str">
        <x:v>data.gouv.fr_aife</x:v>
      </x:c>
      <x:c r="P150" s="33" t="str">
        <x:v>2018150903505600</x:v>
      </x:c>
    </x:row>
    <x:row r="151">
      <x:c r="A151" s="33" t="str">
        <x:v>2018100013076400</x:v>
      </x:c>
      <x:c r="B151" s="33" t="str">
        <x:v>MINARM / SSF / DSSF Toulon - Direction du service de soutien de la flotte de Toulon - DSSF Toulon</x:v>
      </x:c>
      <x:c r="C151" s="33" t="str">
        <x:v>LOGNAV-CM</x:v>
      </x:c>
      <x:c r="D151" s="33" t="str">
        <x:v>AC M15T20 025 relatif à la fourniture de matériels de robinetterie tels que vannes, soupapes, clapets, robinets, détendeurs, valves, raccords, coudes, tubes, tuyaux, colliers, brides, manchons, flexibles et accessoires associés pour les besoins nécessai...</x:v>
      </x:c>
      <x:c r="E151" s="33" t="str">
        <x:v>Pièces pour navires de guerre.</x:v>
      </x:c>
      <x:c r="F151" s="36" t="n">
        <x:v>21716</x:v>
      </x:c>
      <x:c r="G151" s="38" t="n">
        <x:v>43382</x:v>
      </x:c>
      <x:c r="H151" s="38" t="n">
        <x:v>43382</x:v>
      </x:c>
      <x:c r="I151" s="40" t="n">
        <x:v>12</x:v>
      </x:c>
      <x:c r="J151" s="33" t="str"/>
      <x:c r="K151" s="33" t="str"/>
      <x:c r="L151" s="33" t="str"/>
      <x:c r="M151" s="33" t="str">
        <x:v>(83) Var</x:v>
      </x:c>
      <x:c r="N151" s="33" t="str">
        <x:v>Oui</x:v>
      </x:c>
      <x:c r="O151" s="33" t="str">
        <x:v>data.gouv.fr_aife</x:v>
      </x:c>
      <x:c r="P151" s="33" t="str">
        <x:v>2018100013076400</x:v>
      </x:c>
    </x:row>
    <x:row r="152">
      <x:c r="A152" s="33" t="str">
        <x:v>20182018S5013100</x:v>
      </x:c>
      <x:c r="B152" s="33" t="str">
        <x:v>MINARM / ESTM / EPA / ONAC - Office National des Anciens Combattants et victimes de guerre</x:v>
      </x:c>
      <x:c r="C152" s="33" t="str">
        <x:v>THIERRY MULLER</x:v>
      </x:c>
      <x:c r="D152" s="33" t="str">
        <x:v>Entretien des espaces verts des nécropoles nationales et des carrés militaires - 2018030POL - Entretien des espaces verts de nécropoles nationales dans le Haut Rhin</x:v>
      </x:c>
      <x:c r="E152" s="33" t="str">
        <x:v>Réalisation et entretien d'espaces verts.</x:v>
      </x:c>
      <x:c r="F152" s="36" t="n">
        <x:v>70932</x:v>
      </x:c>
      <x:c r="G152" s="38" t="n">
        <x:v>43383</x:v>
      </x:c>
      <x:c r="H152" s="38" t="n">
        <x:v>43383</x:v>
      </x:c>
      <x:c r="I152" s="40" t="n">
        <x:v>48</x:v>
      </x:c>
      <x:c r="J152" s="33" t="str">
        <x:v>Accord-cadre</x:v>
      </x:c>
      <x:c r="K152" s="33" t="str">
        <x:v>Appel d'offres ouvert</x:v>
      </x:c>
      <x:c r="L152" s="33" t="str">
        <x:v>Révisable</x:v>
      </x:c>
      <x:c r="M152" s="33" t="str">
        <x:v>(54) Meurthe-et-Moselle</x:v>
      </x:c>
      <x:c r="N152" s="33" t="str">
        <x:v>Oui</x:v>
      </x:c>
      <x:c r="O152" s="33" t="str">
        <x:v>data.gouv.fr_aife</x:v>
      </x:c>
      <x:c r="P152" s="33" t="str">
        <x:v>20182018S5013100</x:v>
      </x:c>
    </x:row>
    <x:row r="153">
      <x:c r="A153" s="33" t="str">
        <x:v>20182018S5013200</x:v>
      </x:c>
      <x:c r="B153" s="33" t="str">
        <x:v>MINARM / ESTM / EPA / ONAC - Office National des Anciens Combattants et victimes de guerre</x:v>
      </x:c>
      <x:c r="C153" s="33" t="str">
        <x:v>THIERRY MULLER</x:v>
      </x:c>
      <x:c r="D153" s="33" t="str">
        <x:v>Entretien des espaces verts des nécropoles nationales et des carrés militaires - 2018031POL - Entretien des espaces verts de nécropoles nationales dans le Haut Rhin</x:v>
      </x:c>
      <x:c r="E153" s="33" t="str">
        <x:v>Réalisation et entretien d'espaces verts.</x:v>
      </x:c>
      <x:c r="F153" s="36" t="n">
        <x:v>44745</x:v>
      </x:c>
      <x:c r="G153" s="38" t="n">
        <x:v>43383</x:v>
      </x:c>
      <x:c r="H153" s="38" t="n">
        <x:v>43383</x:v>
      </x:c>
      <x:c r="I153" s="40" t="n">
        <x:v>48</x:v>
      </x:c>
      <x:c r="J153" s="33" t="str">
        <x:v>Accord-cadre</x:v>
      </x:c>
      <x:c r="K153" s="33" t="str">
        <x:v>Appel d'offres ouvert</x:v>
      </x:c>
      <x:c r="L153" s="33" t="str">
        <x:v>Révisable</x:v>
      </x:c>
      <x:c r="M153" s="33" t="str">
        <x:v>(54) Meurthe-et-Moselle</x:v>
      </x:c>
      <x:c r="N153" s="33" t="str">
        <x:v>Oui</x:v>
      </x:c>
      <x:c r="O153" s="33" t="str">
        <x:v>data.gouv.fr_aife</x:v>
      </x:c>
      <x:c r="P153" s="33" t="str">
        <x:v>20182018S5013200</x:v>
      </x:c>
    </x:row>
    <x:row r="154">
      <x:c r="A154" s="33" t="str">
        <x:v>20182018S5013000</x:v>
      </x:c>
      <x:c r="B154" s="33" t="str">
        <x:v>MINARM / ESTM / EPA / ONAC - Office National des Anciens Combattants et victimes de guerre</x:v>
      </x:c>
      <x:c r="C154" s="33" t="str">
        <x:v>FENNINGER PAYSAGE</x:v>
      </x:c>
      <x:c r="D154" s="33" t="str">
        <x:v>Entretien des espaces verts des nécropoles nationales et des carrés militaires - 2018029POL - Entretien des espaces verts de la nécropole nationale de Haguenau</x:v>
      </x:c>
      <x:c r="E154" s="33" t="str">
        <x:v>Réalisation et entretien d'espaces verts.</x:v>
      </x:c>
      <x:c r="F154" s="36" t="n">
        <x:v>29578</x:v>
      </x:c>
      <x:c r="G154" s="38" t="n">
        <x:v>43383</x:v>
      </x:c>
      <x:c r="H154" s="38" t="n">
        <x:v>43383</x:v>
      </x:c>
      <x:c r="I154" s="40" t="n">
        <x:v>48</x:v>
      </x:c>
      <x:c r="J154" s="33" t="str">
        <x:v>Accord-cadre</x:v>
      </x:c>
      <x:c r="K154" s="33" t="str">
        <x:v>Appel d'offres ouvert</x:v>
      </x:c>
      <x:c r="L154" s="33" t="str">
        <x:v>Révisable</x:v>
      </x:c>
      <x:c r="M154" s="33" t="str">
        <x:v>(54) Meurthe-et-Moselle</x:v>
      </x:c>
      <x:c r="N154" s="33" t="str">
        <x:v>Oui</x:v>
      </x:c>
      <x:c r="O154" s="33" t="str">
        <x:v>data.gouv.fr_aife</x:v>
      </x:c>
      <x:c r="P154" s="33" t="str">
        <x:v>20182018S5013000</x:v>
      </x:c>
    </x:row>
    <x:row r="155">
      <x:c r="A155" s="33" t="str">
        <x:v>20182018F5682200</x:v>
      </x:c>
      <x:c r="B155" s="33" t="str">
        <x:v>MINARM / ESTM / EPA / Ecole Polytechnique - Ecole Polytechnique</x:v>
      </x:c>
      <x:c r="C155" s="33" t="str">
        <x:v>SHANGHAI JIADING FOREIGN TRADE CO., LTD.</x:v>
      </x:c>
      <x:c r="D155" s="33" t="str">
        <x:v>FOURNITURE DE 3 DISQUES LASER OCTOGONAUX 208MM POUR LE LABORATOIRE LULI DE LECOLE POLYTECHNIQUE</x:v>
      </x:c>
      <x:c r="E155" s="33" t="str">
        <x:v>Services de laboratoire de recherche.</x:v>
      </x:c>
      <x:c r="F155" s="36" t="n">
        <x:v>133200</x:v>
      </x:c>
      <x:c r="G155" s="38" t="n">
        <x:v>43383</x:v>
      </x:c>
      <x:c r="H155" s="38" t="n">
        <x:v>43383</x:v>
      </x:c>
      <x:c r="I155" s="40" t="n">
        <x:v>12</x:v>
      </x:c>
      <x:c r="J155" s="33" t="str">
        <x:v>Marché</x:v>
      </x:c>
      <x:c r="K155" s="33" t="str">
        <x:v>Appel d'offres ouvert</x:v>
      </x:c>
      <x:c r="L155" s="33" t="str">
        <x:v>Ferme</x:v>
      </x:c>
      <x:c r="M155" s="33" t="str">
        <x:v>(91) Essonne</x:v>
      </x:c>
      <x:c r="N155" s="33" t="str">
        <x:v>Oui</x:v>
      </x:c>
      <x:c r="O155" s="33" t="str">
        <x:v>data.gouv.fr_aife</x:v>
      </x:c>
      <x:c r="P155" s="33" t="str">
        <x:v>20182018F5682200</x:v>
      </x:c>
    </x:row>
    <x:row r="156">
      <x:c r="A156" s="33" t="str">
        <x:v>2018150900780500</x:v>
      </x:c>
      <x:c r="B156" s="33" t="str">
        <x:v>MINARM / SGA / SID / ESID Toulon - Etablissement du service d'infrastructure de la défense de Toulon - ESID Toulon</x:v>
      </x:c>
      <x:c r="C156" s="33" t="str">
        <x:v>CEGELEC DEFENSE ET NAVAL SUD-EST</x:v>
      </x:c>
      <x:c r="D156" s="33" t="str">
        <x:v>Accueil et soutien Barracuda à Toulon- Phase 2- Opération d'adaptation du bassin MY02-Continuité de services- Création d'une station de pompage provisoire</x:v>
      </x:c>
      <x:c r="E156" s="33" t="str">
        <x:v>Bâtiments préfabriqués.</x:v>
      </x:c>
      <x:c r="F156" s="36" t="n">
        <x:v>1970735</x:v>
      </x:c>
      <x:c r="G156" s="38" t="n">
        <x:v>43383</x:v>
      </x:c>
      <x:c r="H156" s="38" t="n">
        <x:v>43383</x:v>
      </x:c>
      <x:c r="I156" s="40" t="n">
        <x:v>18</x:v>
      </x:c>
      <x:c r="J156" s="33" t="str"/>
      <x:c r="K156" s="33" t="str"/>
      <x:c r="L156" s="33" t="str"/>
      <x:c r="M156" s="33" t="str">
        <x:v>(83) Var</x:v>
      </x:c>
      <x:c r="N156" s="33" t="str">
        <x:v>Oui</x:v>
      </x:c>
      <x:c r="O156" s="33" t="str">
        <x:v>data.gouv.fr_aife</x:v>
      </x:c>
      <x:c r="P156" s="33" t="str">
        <x:v>2018150900780500</x:v>
      </x:c>
    </x:row>
    <x:row r="157">
      <x:c r="A157" s="33" t="str">
        <x:v>2018120005814200</x:v>
      </x:c>
      <x:c r="B157" s="33" t="str">
        <x:v>MINARM / SGA / SID / ESID Metz - Etablissement du service d'infrastructure de la défense de Metz - ESID Metz</x:v>
      </x:c>
      <x:c r="C157" s="33" t="str">
        <x:v>ENGIE ENERGIE SERVICES</x:v>
      </x:c>
      <x:c r="D157" s="33" t="str">
        <x:v>Emprises de la Base de Défense de Saint Dizier - Chaumont - Exploitation et maintenance courante des installations de chauffage, de production d'eau chaude sanitaire, de climatisation et de traitement d'air -</x:v>
      </x:c>
      <x:c r="E157" s="33" t="str"/>
      <x:c r="F157" s="36" t="n">
        <x:v>542691</x:v>
      </x:c>
      <x:c r="G157" s="38" t="n">
        <x:v>43383</x:v>
      </x:c>
      <x:c r="H157" s="38" t="n">
        <x:v>43383</x:v>
      </x:c>
      <x:c r="I157" s="40" t="n">
        <x:v>48</x:v>
      </x:c>
      <x:c r="J157" s="33" t="str"/>
      <x:c r="K157" s="33" t="str"/>
      <x:c r="L157" s="33" t="str"/>
      <x:c r="M157" s="33" t="str">
        <x:v>(57) Moselle</x:v>
      </x:c>
      <x:c r="N157" s="33" t="str">
        <x:v>Oui</x:v>
      </x:c>
      <x:c r="O157" s="33" t="str">
        <x:v>data.gouv.fr_aife</x:v>
      </x:c>
      <x:c r="P157" s="33" t="str">
        <x:v>2018120005814200</x:v>
      </x:c>
    </x:row>
    <x:row r="158">
      <x:c r="A158" s="33" t="str">
        <x:v>20182018S0024100</x:v>
      </x:c>
      <x:c r="B158" s="33" t="str">
        <x:v>MINARM / ESTM / EPA / ISAE - Institut supérieur de l'aéronautique et de l'espace (ISAE)</x:v>
      </x:c>
      <x:c r="C158" s="33" t="str">
        <x:v>WAVESTONE ADVISORS</x:v>
      </x:c>
      <x:c r="D158" s="33" t="str">
        <x:v>La présente consultation concerne Lélaboration du Schéma Pluriannuel de Stratégie Immobilière (SPSI) de l'ISAE-SUPAERO et lassistance dans la procédure de labellisation de ses projets immobiliers -</x:v>
      </x:c>
      <x:c r="E158" s="33" t="str">
        <x:v>Services d'assistance dans le domaine de l'ingénierie.</x:v>
      </x:c>
      <x:c r="F158" s="36" t="n">
        <x:v>94999</x:v>
      </x:c>
      <x:c r="G158" s="38" t="n">
        <x:v>43383</x:v>
      </x:c>
      <x:c r="H158" s="38" t="n">
        <x:v>43383</x:v>
      </x:c>
      <x:c r="I158" s="40" t="n">
        <x:v>24</x:v>
      </x:c>
      <x:c r="J158" s="33" t="str">
        <x:v>Accord-cadre</x:v>
      </x:c>
      <x:c r="K158" s="33" t="str">
        <x:v>Appel d'offres ouvert</x:v>
      </x:c>
      <x:c r="L158" s="33" t="str">
        <x:v>Ferme</x:v>
      </x:c>
      <x:c r="M158" s="33" t="str">
        <x:v>(31) Haute-Garonne</x:v>
      </x:c>
      <x:c r="N158" s="33" t="str">
        <x:v>Oui</x:v>
      </x:c>
      <x:c r="O158" s="33" t="str">
        <x:v>data.gouv.fr_aife</x:v>
      </x:c>
      <x:c r="P158" s="33" t="str">
        <x:v>20182018S0024100</x:v>
      </x:c>
    </x:row>
    <x:row r="159">
      <x:c r="A159" s="33" t="str">
        <x:v>20182018S5012900</x:v>
      </x:c>
      <x:c r="B159" s="33" t="str">
        <x:v>MINARM / ESTM / EPA / ONAC - Office National des Anciens Combattants et victimes de guerre</x:v>
      </x:c>
      <x:c r="C159" s="33" t="str">
        <x:v>THIERRY MULLER</x:v>
      </x:c>
      <x:c r="D159" s="33" t="str">
        <x:v>Entretien des espaces verts des nécropoles nationales et des carrés militaires - 2018028POL - Entretien des espaces verts de nécropoles nationales dans le Haut Rhin</x:v>
      </x:c>
      <x:c r="E159" s="33" t="str">
        <x:v>Réalisation et entretien d'espaces verts.</x:v>
      </x:c>
      <x:c r="F159" s="36" t="n">
        <x:v>41090</x:v>
      </x:c>
      <x:c r="G159" s="38" t="n">
        <x:v>43383</x:v>
      </x:c>
      <x:c r="H159" s="38" t="n">
        <x:v>43383</x:v>
      </x:c>
      <x:c r="I159" s="40" t="n">
        <x:v>48</x:v>
      </x:c>
      <x:c r="J159" s="33" t="str">
        <x:v>Accord-cadre</x:v>
      </x:c>
      <x:c r="K159" s="33" t="str">
        <x:v>Appel d'offres ouvert</x:v>
      </x:c>
      <x:c r="L159" s="33" t="str">
        <x:v>Révisable</x:v>
      </x:c>
      <x:c r="M159" s="33" t="str">
        <x:v>(54) Meurthe-et-Moselle</x:v>
      </x:c>
      <x:c r="N159" s="33" t="str">
        <x:v>Oui</x:v>
      </x:c>
      <x:c r="O159" s="33" t="str">
        <x:v>data.gouv.fr_aife</x:v>
      </x:c>
      <x:c r="P159" s="33" t="str">
        <x:v>20182018S5012900</x:v>
      </x:c>
    </x:row>
    <x:row r="160">
      <x:c r="A160" s="33" t="str">
        <x:v>2018130013848100</x:v>
      </x:c>
      <x:c r="B160" s="33" t="str">
        <x:v>MINARM / DGA / DO / S2A / PROD / DA-BS - Division achats - Bourges</x:v>
      </x:c>
      <x:c r="C160" s="33" t="str">
        <x:v>SCE CONSEIL EXPERTISES TERRITOIRES</x:v>
      </x:c>
      <x:c r="D160" s="33" t="str">
        <x:v>Accord-cadre négocié pour la réalisation de prestations similaires au lot n°4 de l’accord-cadre à - bon de commande d’assistance à maîtrise d’ouvrage pour des prestations de programmiste dans - le cadre de travaux de rénovation de cités adminis</x:v>
      </x:c>
      <x:c r="E160" s="33" t="str">
        <x:v>Services d'architecture , services de construction, services d'ingénierie et services d'inspection.</x:v>
      </x:c>
      <x:c r="F160" s="36" t="n">
        <x:v>85240</x:v>
      </x:c>
      <x:c r="G160" s="38" t="n">
        <x:v>43384</x:v>
      </x:c>
      <x:c r="H160" s="38" t="n">
        <x:v>43384</x:v>
      </x:c>
      <x:c r="I160" s="40" t="n">
        <x:v>15</x:v>
      </x:c>
      <x:c r="J160" s="33" t="str"/>
      <x:c r="K160" s="33" t="str"/>
      <x:c r="L160" s="33" t="str">
        <x:v>Révisable</x:v>
      </x:c>
      <x:c r="M160" s="33" t="str">
        <x:v>(16) Charente</x:v>
      </x:c>
      <x:c r="N160" s="33" t="str">
        <x:v>Oui</x:v>
      </x:c>
      <x:c r="O160" s="33" t="str">
        <x:v>data.gouv.fr_aife</x:v>
      </x:c>
      <x:c r="P160" s="33" t="str">
        <x:v>2018130013848100</x:v>
      </x:c>
    </x:row>
    <x:row r="161">
      <x:c r="A161" s="33" t="str">
        <x:v>2018130013850100</x:v>
      </x:c>
      <x:c r="B161" s="33" t="str">
        <x:v>MINARM / DGA / DO / S2A / PROD / DA-BS - Division achats - Bourges</x:v>
      </x:c>
      <x:c r="C161" s="33" t="str">
        <x:v>SETEC ORGANISATION</x:v>
      </x:c>
      <x:c r="D161" s="33" t="str">
        <x:v>Accord-cadre à bon de commande d'assistance à maîtrise d'ouvrage pour des prestations de programmistes dans cadre de travaux de rénovation de la cité administrative de Périgueux</x:v>
      </x:c>
      <x:c r="E161" s="33" t="str">
        <x:v>Services d'architecture , services de construction, services d'ingénierie et services d'inspection.</x:v>
      </x:c>
      <x:c r="F161" s="36" t="n">
        <x:v>66900</x:v>
      </x:c>
      <x:c r="G161" s="38" t="n">
        <x:v>43384</x:v>
      </x:c>
      <x:c r="H161" s="38" t="n">
        <x:v>43384</x:v>
      </x:c>
      <x:c r="I161" s="40" t="n">
        <x:v>15</x:v>
      </x:c>
      <x:c r="J161" s="33" t="str"/>
      <x:c r="K161" s="33" t="str"/>
      <x:c r="L161" s="33" t="str">
        <x:v>Révisable</x:v>
      </x:c>
      <x:c r="M161" s="33" t="str">
        <x:v>(24) Dordogne</x:v>
      </x:c>
      <x:c r="N161" s="33" t="str">
        <x:v>Oui</x:v>
      </x:c>
      <x:c r="O161" s="33" t="str">
        <x:v>data.gouv.fr_aife</x:v>
      </x:c>
      <x:c r="P161" s="33" t="str">
        <x:v>2018130013850100</x:v>
      </x:c>
    </x:row>
    <x:row r="162">
      <x:c r="A162" s="33" t="str">
        <x:v>2018150902004200</x:v>
      </x:c>
      <x:c r="B162" s="33" t="str">
        <x:v>MINARM / SGA / SID / DID SDS - Direction d'infrastructure de la défense de Saint-Denis - DID Saint Denis</x:v>
      </x:c>
      <x:c r="C162" s="33" t="str">
        <x:v>SOCIETE BOURBONNAISE DE REHABILITATION</x:v>
      </x:c>
      <x:c r="D162" s="33" t="str">
        <x:v>AVIS DAPPEL PUBLIC A LA CONCURRENCE - TRAVAUX - I. IDENTIFICATION DE LORGANISME QUI PASSE LE MARCHE - Direction dInfrastructure de la Défense de Saint-Denis - Division Achats Infrastructure et Aide à lActivité - Caserne Lambert - Avenue du chef de BTN...</x:v>
      </x:c>
      <x:c r="E162" s="33" t="str">
        <x:v>Travaux de construction de bâtiments destinés aux loisirs, aux sports, à la culture, à l'hébergement et de restaurants.</x:v>
      </x:c>
      <x:c r="F162" s="36" t="n">
        <x:v>297230</x:v>
      </x:c>
      <x:c r="G162" s="38" t="n">
        <x:v>43384</x:v>
      </x:c>
      <x:c r="H162" s="38" t="n">
        <x:v>43384</x:v>
      </x:c>
      <x:c r="I162" s="40" t="n">
        <x:v>4</x:v>
      </x:c>
      <x:c r="J162" s="33" t="str"/>
      <x:c r="K162" s="33" t="str"/>
      <x:c r="L162" s="33" t="str"/>
      <x:c r="M162" s="33" t="str">
        <x:v>(976) Mayotte</x:v>
      </x:c>
      <x:c r="N162" s="33" t="str">
        <x:v>Oui</x:v>
      </x:c>
      <x:c r="O162" s="33" t="str">
        <x:v>data.gouv.fr_aife</x:v>
      </x:c>
      <x:c r="P162" s="33" t="str">
        <x:v>2018150902004200</x:v>
      </x:c>
    </x:row>
    <x:row r="163">
      <x:c r="A163" s="33" t="str">
        <x:v>2018150900767700</x:v>
      </x:c>
      <x:c r="B163" s="33" t="str">
        <x:v>MINARM / SGA / SID / ESID Toulon - Etablissement du service d'infrastructure de la défense de Toulon - ESID Toulon</x:v>
      </x:c>
      <x:c r="C163" s="33" t="str">
        <x:v>EIFFAGE</x:v>
      </x:c>
      <x:c r="D163" s="33" t="str">
        <x:v>Saint Mandrier - Pôle Ecole Méditerranée - Mise en conformité électrique et incendie - Bâtiment G Sud - O Sud Nc Sud - U Nord : Lot 1 - Travaux de gros oeuvre et second oeuvre .</x:v>
      </x:c>
      <x:c r="E163" s="33" t="str">
        <x:v>Travaux de réfection.</x:v>
      </x:c>
      <x:c r="F163" s="36" t="n">
        <x:v>1429320</x:v>
      </x:c>
      <x:c r="G163" s="38" t="n">
        <x:v>43385</x:v>
      </x:c>
      <x:c r="H163" s="38" t="n">
        <x:v>43385</x:v>
      </x:c>
      <x:c r="I163" s="40" t="n">
        <x:v>13</x:v>
      </x:c>
      <x:c r="J163" s="33" t="str"/>
      <x:c r="K163" s="33" t="str"/>
      <x:c r="L163" s="33" t="str"/>
      <x:c r="M163" s="33" t="str">
        <x:v>(83) Var</x:v>
      </x:c>
      <x:c r="N163" s="33" t="str">
        <x:v>Oui</x:v>
      </x:c>
      <x:c r="O163" s="33" t="str">
        <x:v>data.gouv.fr_aife</x:v>
      </x:c>
      <x:c r="P163" s="33" t="str">
        <x:v>2018150900767700</x:v>
      </x:c>
    </x:row>
    <x:row r="164">
      <x:c r="A164" s="33" t="str">
        <x:v>2018150903140000</x:v>
      </x:c>
      <x:c r="B164" s="33" t="str">
        <x:v>MINARM / DGA / DO / S2A / PROD / DA-BA - Division achats - Toulouse/Balma</x:v>
      </x:c>
      <x:c r="C164" s="33" t="str">
        <x:v>MANGANELLI TECHNOLOGY</x:v>
      </x:c>
      <x:c r="D164" s="33" t="str">
        <x:v>Fourniture et installation de tableaux blancs interactifs ainsi que la formation à l'usage du matériel, au profit de la Sous-Direction des Méthodes et de l'Appui (SDMA) de la Police Nationale à Clermont-Ferrand.</x:v>
      </x:c>
      <x:c r="E164" s="33" t="str">
        <x:v>Matériel et fournitures informatiques.</x:v>
      </x:c>
      <x:c r="F164" s="36" t="n">
        <x:v>21130</x:v>
      </x:c>
      <x:c r="G164" s="38" t="n">
        <x:v>43385</x:v>
      </x:c>
      <x:c r="H164" s="38" t="n">
        <x:v>43385</x:v>
      </x:c>
      <x:c r="I164" s="40" t="n">
        <x:v>23</x:v>
      </x:c>
      <x:c r="J164" s="33" t="str"/>
      <x:c r="K164" s="33" t="str"/>
      <x:c r="L164" s="33" t="str"/>
      <x:c r="M164" s="33" t="str">
        <x:v>(31) Haute-Garonne</x:v>
      </x:c>
      <x:c r="N164" s="33" t="str">
        <x:v>Oui</x:v>
      </x:c>
      <x:c r="O164" s="33" t="str">
        <x:v>data.gouv.fr_aife</x:v>
      </x:c>
      <x:c r="P164" s="33" t="str">
        <x:v>2018150903140000</x:v>
      </x:c>
    </x:row>
    <x:row r="165">
      <x:c r="A165" s="33" t="str">
        <x:v>2018150902778700</x:v>
      </x:c>
      <x:c r="B165" s="33" t="str">
        <x:v>MINARM / SSF / DSSF Brest - Direction du service de soutien de la flotte de Brest - DSSF Brest</x:v>
      </x:c>
      <x:c r="C165" s="33" t="str">
        <x:v>LE LITTORAL</x:v>
      </x:c>
      <x:c r="D165" s="33" t="str">
        <x:v>Approvisionnement de cartes imprimées et sangles de marques diverses ou équivalent au profit des bâtiments de la Marine Nationale</x:v>
      </x:c>
      <x:c r="E165" s="33" t="str">
        <x:v>Pièces pour navires de guerre.</x:v>
      </x:c>
      <x:c r="F165" s="36" t="n">
        <x:v>5596</x:v>
      </x:c>
      <x:c r="G165" s="38" t="n">
        <x:v>43385</x:v>
      </x:c>
      <x:c r="H165" s="38" t="n">
        <x:v>43385</x:v>
      </x:c>
      <x:c r="I165" s="40" t="n">
        <x:v>4</x:v>
      </x:c>
      <x:c r="J165" s="33" t="str"/>
      <x:c r="K165" s="33" t="str"/>
      <x:c r="L165" s="33" t="str"/>
      <x:c r="M165" s="33" t="str">
        <x:v>(29) Finistère</x:v>
      </x:c>
      <x:c r="N165" s="33" t="str">
        <x:v>Oui</x:v>
      </x:c>
      <x:c r="O165" s="33" t="str">
        <x:v>data.gouv.fr_aife</x:v>
      </x:c>
      <x:c r="P165" s="33" t="str">
        <x:v>2018150902778700</x:v>
      </x:c>
    </x:row>
    <x:row r="166">
      <x:c r="A166" s="33" t="str">
        <x:v>2018150902785100</x:v>
      </x:c>
      <x:c r="B166" s="33" t="str">
        <x:v>MINARM / SGA / SID / ESID BREST - Etablissement du service d'infrastructure de la défense de BREST - ESID Brest</x:v>
      </x:c>
      <x:c r="C166" s="33" t="str">
        <x:v>ECO ENVIRONNEMENT CONSEIL</x:v>
      </x:c>
      <x:c r="D166" s="33" t="str">
        <x:v>Camaret sur Mer (29) - FOSIT - Reconstruction du sémaphore du Toulinguet - Mission d'études environnementales</x:v>
      </x:c>
      <x:c r="E166" s="33" t="str">
        <x:v>Contrôle de la conformité aux normes environnementales.</x:v>
      </x:c>
      <x:c r="F166" s="36" t="n">
        <x:v>48300</x:v>
      </x:c>
      <x:c r="G166" s="38" t="n">
        <x:v>43388</x:v>
      </x:c>
      <x:c r="H166" s="38" t="n">
        <x:v>43388</x:v>
      </x:c>
      <x:c r="I166" s="40" t="n">
        <x:v>42</x:v>
      </x:c>
      <x:c r="J166" s="33" t="str"/>
      <x:c r="K166" s="33" t="str"/>
      <x:c r="L166" s="33" t="str"/>
      <x:c r="M166" s="33" t="str">
        <x:v>(29) Finistère</x:v>
      </x:c>
      <x:c r="N166" s="33" t="str">
        <x:v>Oui</x:v>
      </x:c>
      <x:c r="O166" s="33" t="str">
        <x:v>data.gouv.fr_aife</x:v>
      </x:c>
      <x:c r="P166" s="33" t="str">
        <x:v>2018150902785100</x:v>
      </x:c>
    </x:row>
    <x:row r="167">
      <x:c r="A167" s="33" t="str">
        <x:v>2018130013787400</x:v>
      </x:c>
      <x:c r="B167" s="33" t="str">
        <x:v>MINARM / SGA / SID / ESID Metz - Etablissement du service d'infrastructure de la défense de Metz - ESID Metz</x:v>
      </x:c>
      <x:c r="C167" s="33" t="str">
        <x:v>PATEU ET ROBERT</x:v>
      </x:c>
      <x:c r="D167" s="33" t="str">
        <x:v>SAONE et LOIRE (71) - Accord cadre à bons de commande sur bordereau de prix, pour l'exécution des travaux d'entretien, de réparation et d'aménagement, des immeubles militaires, dépendant de l'unité de soutien de l'infrastructure de la défense de Besanço...</x:v>
      </x:c>
      <x:c r="E167" s="33" t="str">
        <x:v>Travaux de couverture et travaux d'autres corps de métier spécialisés.</x:v>
      </x:c>
      <x:c r="F167" s="36" t="n">
        <x:v>795229</x:v>
      </x:c>
      <x:c r="G167" s="38" t="n">
        <x:v>43388</x:v>
      </x:c>
      <x:c r="H167" s="38" t="n">
        <x:v>43388</x:v>
      </x:c>
      <x:c r="I167" s="40" t="n">
        <x:v>48</x:v>
      </x:c>
      <x:c r="J167" s="33" t="str"/>
      <x:c r="K167" s="33" t="str"/>
      <x:c r="L167" s="33" t="str"/>
      <x:c r="M167" s="33" t="str">
        <x:v>(57) Moselle</x:v>
      </x:c>
      <x:c r="N167" s="33" t="str">
        <x:v>Oui</x:v>
      </x:c>
      <x:c r="O167" s="33" t="str">
        <x:v>data.gouv.fr_aife</x:v>
      </x:c>
      <x:c r="P167" s="33" t="str">
        <x:v>2018130013787400</x:v>
      </x:c>
    </x:row>
    <x:row r="168">
      <x:c r="A168" s="33" t="str">
        <x:v>2018150901380300</x:v>
      </x:c>
      <x:c r="B168" s="33" t="str">
        <x:v>MINARM / DMAé / SSAM 33 504 (Beauséjour) - Structure Spécialisée d'achat et de Mandatement 33 504 (Beauséjour)</x:v>
      </x:c>
      <x:c r="C168" s="33" t="str">
        <x:v>INSTITUT DE SOUDURE INDUSTRIE</x:v>
      </x:c>
      <x:c r="D168" s="33" t="str">
        <x:v>Services d'inspection technique</x:v>
      </x:c>
      <x:c r="E168" s="33" t="str"/>
      <x:c r="F168" s="36" t="n">
        <x:v>1810</x:v>
      </x:c>
      <x:c r="G168" s="38" t="n">
        <x:v>43388</x:v>
      </x:c>
      <x:c r="H168" s="38" t="n">
        <x:v>43388</x:v>
      </x:c>
      <x:c r="I168" s="40" t="n">
        <x:v>2</x:v>
      </x:c>
      <x:c r="J168" s="33" t="str"/>
      <x:c r="K168" s="33" t="str"/>
      <x:c r="L168" s="33" t="str"/>
      <x:c r="M168" s="33" t="str">
        <x:v>(33) Gironde</x:v>
      </x:c>
      <x:c r="N168" s="33" t="str">
        <x:v>Oui</x:v>
      </x:c>
      <x:c r="O168" s="33" t="str">
        <x:v>data.gouv.fr_aife</x:v>
      </x:c>
      <x:c r="P168" s="33" t="str">
        <x:v>2018150901380300</x:v>
      </x:c>
    </x:row>
    <x:row r="169">
      <x:c r="A169" s="33" t="str">
        <x:v>2018100013109200</x:v>
      </x:c>
      <x:c r="B169" s="33" t="str">
        <x:v>MINARM / SSF / DSSF Toulon - Direction du service de soutien de la flotte de Toulon - DSSF Toulon</x:v>
      </x:c>
      <x:c r="C169" s="33" t="str">
        <x:v>LE LITTORAL</x:v>
      </x:c>
      <x:c r="D169" s="33" t="str">
        <x:v>AC M15T20 025 relatif à la fourniture de matériels de robinetterie tels que vannes, soupapes, clapets, robinets, détendeurs, valves, raccords, coudes, tubes, tuyaux, colliers, brides, manchons, flexibles et accessoires associés pour les besoins nécessai...</x:v>
      </x:c>
      <x:c r="E169" s="33" t="str">
        <x:v>Pièces pour navires de guerre.</x:v>
      </x:c>
      <x:c r="F169" s="36" t="n">
        <x:v>8981</x:v>
      </x:c>
      <x:c r="G169" s="38" t="n">
        <x:v>43388</x:v>
      </x:c>
      <x:c r="H169" s="38" t="n">
        <x:v>43388</x:v>
      </x:c>
      <x:c r="I169" s="40" t="n">
        <x:v>2</x:v>
      </x:c>
      <x:c r="J169" s="33" t="str"/>
      <x:c r="K169" s="33" t="str"/>
      <x:c r="L169" s="33" t="str"/>
      <x:c r="M169" s="33" t="str">
        <x:v>(83) Var</x:v>
      </x:c>
      <x:c r="N169" s="33" t="str">
        <x:v>Oui</x:v>
      </x:c>
      <x:c r="O169" s="33" t="str">
        <x:v>data.gouv.fr_aife</x:v>
      </x:c>
      <x:c r="P169" s="33" t="str">
        <x:v>2018100013109200</x:v>
      </x:c>
    </x:row>
    <x:row r="170">
      <x:c r="A170" s="33" t="str">
        <x:v>2018170008950000</x:v>
      </x:c>
      <x:c r="B170" s="33" t="str">
        <x:v>MINARM / SCA / PFC Est - Plate-forme commissariat Est (Metz)</x:v>
      </x:c>
      <x:c r="C170" s="33" t="str">
        <x:v>HOROQUARTZ</x:v>
      </x:c>
      <x:c r="D170" s="33" t="str">
        <x:v>Acquisition d'un système de gestion de temps de travail, de la formation à son utilisation et de la maintenance au profit du GSBdD de Charleville-Mézières</x:v>
      </x:c>
      <x:c r="E170" s="33" t="str"/>
      <x:c r="F170" s="36" t="n">
        <x:v>18990</x:v>
      </x:c>
      <x:c r="G170" s="38" t="n">
        <x:v>43388</x:v>
      </x:c>
      <x:c r="H170" s="38" t="n">
        <x:v>43388</x:v>
      </x:c>
      <x:c r="I170" s="40" t="n">
        <x:v>36</x:v>
      </x:c>
      <x:c r="J170" s="33" t="str"/>
      <x:c r="K170" s="33" t="str"/>
      <x:c r="L170" s="33" t="str"/>
      <x:c r="M170" s="33" t="str">
        <x:v>(57) Moselle</x:v>
      </x:c>
      <x:c r="N170" s="33" t="str">
        <x:v>Oui</x:v>
      </x:c>
      <x:c r="O170" s="33" t="str">
        <x:v>data.gouv.fr_aife</x:v>
      </x:c>
      <x:c r="P170" s="33" t="str">
        <x:v>2018170008950000</x:v>
      </x:c>
    </x:row>
    <x:row r="171">
      <x:c r="A171" s="33" t="str">
        <x:v>2018150901376100</x:v>
      </x:c>
      <x:c r="B171" s="33" t="str">
        <x:v>MINARM / DMAé / SSAM 33 504 (Beauséjour) - Structure Spécialisée d'achat et de Mandatement 33 504 (Beauséjour)</x:v>
      </x:c>
      <x:c r="C171" s="33" t="str">
        <x:v>APPAREILLAGE BANC HYDRAULIQUE CHATELLERA</x:v>
      </x:c>
      <x:c r="D171" s="33" t="str">
        <x:v>Raccords</x:v>
      </x:c>
      <x:c r="E171" s="33" t="str"/>
      <x:c r="F171" s="36" t="n">
        <x:v>3032</x:v>
      </x:c>
      <x:c r="G171" s="38" t="n">
        <x:v>43388</x:v>
      </x:c>
      <x:c r="H171" s="38" t="n">
        <x:v>43388</x:v>
      </x:c>
      <x:c r="I171" s="40" t="n">
        <x:v>1</x:v>
      </x:c>
      <x:c r="J171" s="33" t="str"/>
      <x:c r="K171" s="33" t="str"/>
      <x:c r="L171" s="33" t="str"/>
      <x:c r="M171" s="33" t="str">
        <x:v>(33) Gironde</x:v>
      </x:c>
      <x:c r="N171" s="33" t="str">
        <x:v>Oui</x:v>
      </x:c>
      <x:c r="O171" s="33" t="str">
        <x:v>data.gouv.fr_aife</x:v>
      </x:c>
      <x:c r="P171" s="33" t="str">
        <x:v>2018150901376100</x:v>
      </x:c>
    </x:row>
    <x:row r="172">
      <x:c r="A172" s="33" t="str">
        <x:v>2018150901380500</x:v>
      </x:c>
      <x:c r="B172" s="33" t="str">
        <x:v>MINARM / DMAé / SSAM 33 504 (Beauséjour) - Structure Spécialisée d'achat et de Mandatement 33 504 (Beauséjour)</x:v>
      </x:c>
      <x:c r="C172" s="33" t="str">
        <x:v>TRUCKS SERVICES OCCITANS</x:v>
      </x:c>
      <x:c r="D172" s="33" t="str">
        <x:v>Service de réparation et d'entretien de freins et de pièces de freins de véhicules</x:v>
      </x:c>
      <x:c r="E172" s="33" t="str"/>
      <x:c r="F172" s="36" t="n">
        <x:v>155</x:v>
      </x:c>
      <x:c r="G172" s="38" t="n">
        <x:v>43388</x:v>
      </x:c>
      <x:c r="H172" s="38" t="n">
        <x:v>43388</x:v>
      </x:c>
      <x:c r="I172" s="40" t="n">
        <x:v>2</x:v>
      </x:c>
      <x:c r="J172" s="33" t="str"/>
      <x:c r="K172" s="33" t="str"/>
      <x:c r="L172" s="33" t="str"/>
      <x:c r="M172" s="33" t="str">
        <x:v>(33) Gironde</x:v>
      </x:c>
      <x:c r="N172" s="33" t="str">
        <x:v>Oui</x:v>
      </x:c>
      <x:c r="O172" s="33" t="str">
        <x:v>data.gouv.fr_aife</x:v>
      </x:c>
      <x:c r="P172" s="33" t="str">
        <x:v>2018150901380500</x:v>
      </x:c>
    </x:row>
    <x:row r="173">
      <x:c r="A173" s="33" t="str">
        <x:v>2018150903130700</x:v>
      </x:c>
      <x:c r="B173" s="33" t="str">
        <x:v>MINARM / SSF / DSSF Brest - Direction du service de soutien de la flotte de Brest - DSSF Brest</x:v>
      </x:c>
      <x:c r="C173" s="33" t="str">
        <x:v>LE LITTORAL</x:v>
      </x:c>
      <x:c r="D173" s="33" t="str">
        <x:v>Approvisionnement d'un arrête flamme anti-déflagration de marque SID STEIBLE INGENIERIE ET DISTRIBUTION ou équivalent au profit des bâtiments de la Marine Nationale.</x:v>
      </x:c>
      <x:c r="E173" s="33" t="str">
        <x:v>Pièces de rechange pour coque et pièces mécaniques pour navires de guerre.</x:v>
      </x:c>
      <x:c r="F173" s="36" t="n">
        <x:v>12999</x:v>
      </x:c>
      <x:c r="G173" s="38" t="n">
        <x:v>43388</x:v>
      </x:c>
      <x:c r="H173" s="38" t="n">
        <x:v>43388</x:v>
      </x:c>
      <x:c r="I173" s="40" t="n">
        <x:v>5</x:v>
      </x:c>
      <x:c r="J173" s="33" t="str"/>
      <x:c r="K173" s="33" t="str"/>
      <x:c r="L173" s="33" t="str"/>
      <x:c r="M173" s="33" t="str">
        <x:v>(29) Finistère</x:v>
      </x:c>
      <x:c r="N173" s="33" t="str">
        <x:v>Oui</x:v>
      </x:c>
      <x:c r="O173" s="33" t="str">
        <x:v>data.gouv.fr_aife</x:v>
      </x:c>
      <x:c r="P173" s="33" t="str">
        <x:v>2018150903130700</x:v>
      </x:c>
    </x:row>
    <x:row r="174">
      <x:c r="A174" s="33" t="str">
        <x:v>2018100013103300</x:v>
      </x:c>
      <x:c r="B174" s="33" t="str">
        <x:v>MINARM / SSF / DSSF Toulon - Direction du service de soutien de la flotte de Toulon - DSSF Toulon</x:v>
      </x:c>
      <x:c r="C174" s="33" t="str">
        <x:v>LOGNAV-CM</x:v>
      </x:c>
      <x:c r="D174" s="33" t="str">
        <x:v>AC M16T20 015 relatif à l’approvisionnement de fourniture de matériels de mesure et de contrôle nécessaires au maintien en condition opérationnelle (MCO) des Eléments de Force Maritime (EFM) et des Eléments de Force Armées (EFA). -</x:v>
      </x:c>
      <x:c r="E174" s="33" t="str">
        <x:v>Pièces pour navires de guerre.</x:v>
      </x:c>
      <x:c r="F174" s="36" t="n">
        <x:v>3106</x:v>
      </x:c>
      <x:c r="G174" s="38" t="n">
        <x:v>43388</x:v>
      </x:c>
      <x:c r="H174" s="38" t="n">
        <x:v>43388</x:v>
      </x:c>
      <x:c r="I174" s="40" t="n">
        <x:v>3</x:v>
      </x:c>
      <x:c r="J174" s="33" t="str"/>
      <x:c r="K174" s="33" t="str"/>
      <x:c r="L174" s="33" t="str"/>
      <x:c r="M174" s="33" t="str">
        <x:v>(08) Ardennes</x:v>
      </x:c>
      <x:c r="N174" s="33" t="str">
        <x:v>Oui</x:v>
      </x:c>
      <x:c r="O174" s="33" t="str">
        <x:v>data.gouv.fr_aife</x:v>
      </x:c>
      <x:c r="P174" s="33" t="str">
        <x:v>2018100013103300</x:v>
      </x:c>
    </x:row>
    <x:row r="175">
      <x:c r="A175" s="33" t="str">
        <x:v>2018100013088300</x:v>
      </x:c>
      <x:c r="B175" s="33" t="str">
        <x:v>MINARM / SSF / DSSF Toulon - Direction du service de soutien de la flotte de Toulon - DSSF Toulon</x:v>
      </x:c>
      <x:c r="C175" s="33" t="str">
        <x:v>LOGNAV-CM</x:v>
      </x:c>
      <x:c r="D175" s="33" t="str">
        <x:v>Accord cadre N° 2016M16T20024 relatif à la fourniture de rechanges de joints d’étanchéité divers pour les besoins nécessaires au maintien en condition opérationnelle des Eléments de la Force Maritime. - Marché subséquent : N° K18T2002416 relatif à la fo...</x:v>
      </x:c>
      <x:c r="E175" s="33" t="str">
        <x:v>Pièces pour navires de guerre.</x:v>
      </x:c>
      <x:c r="F175" s="36" t="n">
        <x:v>3031</x:v>
      </x:c>
      <x:c r="G175" s="38" t="n">
        <x:v>43388</x:v>
      </x:c>
      <x:c r="H175" s="38" t="n">
        <x:v>43388</x:v>
      </x:c>
      <x:c r="I175" s="40" t="n">
        <x:v>6</x:v>
      </x:c>
      <x:c r="J175" s="33" t="str"/>
      <x:c r="K175" s="33" t="str"/>
      <x:c r="L175" s="33" t="str"/>
      <x:c r="M175" s="33" t="str">
        <x:v>(83) Var</x:v>
      </x:c>
      <x:c r="N175" s="33" t="str">
        <x:v>Oui</x:v>
      </x:c>
      <x:c r="O175" s="33" t="str">
        <x:v>data.gouv.fr_aife</x:v>
      </x:c>
      <x:c r="P175" s="33" t="str">
        <x:v>2018100013088300</x:v>
      </x:c>
    </x:row>
    <x:row r="176">
      <x:c r="A176" s="33" t="str">
        <x:v>2018130013862200</x:v>
      </x:c>
      <x:c r="B176" s="33" t="str">
        <x:v>MINARM / SSA / DAPSA - Direction des Approvisionnements en produits de santé des armées</x:v>
      </x:c>
      <x:c r="C176" s="33" t="str">
        <x:v>ZENTIVA FRANCE</x:v>
      </x:c>
      <x:c r="D176" s="33" t="str">
        <x:v>Fourniture de médicaments ZENTIVA (ex SANOFI) suite à AO (RESAH / AOIDF2015 / LOTS 543 ET 784)</x:v>
      </x:c>
      <x:c r="E176" s="33" t="str">
        <x:v>Produits pharmaceutiques.</x:v>
      </x:c>
      <x:c r="F176" s="36" t="n">
        <x:v>1550</x:v>
      </x:c>
      <x:c r="G176" s="38" t="n">
        <x:v>43388</x:v>
      </x:c>
      <x:c r="H176" s="38" t="n">
        <x:v>43388</x:v>
      </x:c>
      <x:c r="I176" s="40" t="n">
        <x:v>7</x:v>
      </x:c>
      <x:c r="J176" s="33" t="str">
        <x:v>Accord-cadre</x:v>
      </x:c>
      <x:c r="K176" s="33" t="str"/>
      <x:c r="L176" s="33" t="str">
        <x:v>Révisable</x:v>
      </x:c>
      <x:c r="M176" s="33" t="str">
        <x:v>(45) Loiret</x:v>
      </x:c>
      <x:c r="N176" s="33" t="str">
        <x:v>Oui</x:v>
      </x:c>
      <x:c r="O176" s="33" t="str">
        <x:v>data.gouv.fr_aife</x:v>
      </x:c>
      <x:c r="P176" s="33" t="str">
        <x:v>2018130013862200</x:v>
      </x:c>
    </x:row>
    <x:row r="177">
      <x:c r="A177" s="33" t="str">
        <x:v>2018150899949700</x:v>
      </x:c>
      <x:c r="B177" s="33" t="str">
        <x:v>MINARM / SGA / SID / ESID Metz - Etablissement du service d'infrastructure de la défense de Metz - ESID Metz</x:v>
      </x:c>
      <x:c r="C177" s="33" t="str">
        <x:v>SEBA</x:v>
      </x:c>
      <x:c r="D177" s="33" t="str">
        <x:v>BOURSCHEID (57) – Quartier La Horie – Réalisation d’une aire de lavage - Marché de réalisation d’étude de faisabilité - ID COSI 449207 -</x:v>
      </x:c>
      <x:c r="E177" s="33" t="str">
        <x:v>Services d'ingénierie.</x:v>
      </x:c>
      <x:c r="F177" s="36" t="n">
        <x:v>13326</x:v>
      </x:c>
      <x:c r="G177" s="38" t="n">
        <x:v>43388</x:v>
      </x:c>
      <x:c r="H177" s="38" t="n">
        <x:v>43388</x:v>
      </x:c>
      <x:c r="I177" s="40" t="n">
        <x:v>4</x:v>
      </x:c>
      <x:c r="J177" s="33" t="str"/>
      <x:c r="K177" s="33" t="str"/>
      <x:c r="L177" s="33" t="str"/>
      <x:c r="M177" s="33" t="str">
        <x:v>(57) Moselle</x:v>
      </x:c>
      <x:c r="N177" s="33" t="str">
        <x:v>Oui</x:v>
      </x:c>
      <x:c r="O177" s="33" t="str">
        <x:v>data.gouv.fr_aife</x:v>
      </x:c>
      <x:c r="P177" s="33" t="str">
        <x:v>2018150899949700</x:v>
      </x:c>
    </x:row>
    <x:row r="178">
      <x:c r="A178" s="33" t="str">
        <x:v>2018150902004100</x:v>
      </x:c>
      <x:c r="B178" s="33" t="str">
        <x:v>MINARM / DMAé / SSAM 33 504 (Beauséjour) - Structure Spécialisée d'achat et de Mandatement 33 504 (Beauséjour)</x:v>
      </x:c>
      <x:c r="C178" s="33" t="str">
        <x:v>ANCIENS ETABLISSEMENTS H QUINSON SA</x:v>
      </x:c>
      <x:c r="D178" s="33" t="str">
        <x:v>Robinets et vannes</x:v>
      </x:c>
      <x:c r="E178" s="33" t="str">
        <x:v>Robinets et vannes.</x:v>
      </x:c>
      <x:c r="F178" s="36" t="n">
        <x:v>14517</x:v>
      </x:c>
      <x:c r="G178" s="38" t="n">
        <x:v>43388</x:v>
      </x:c>
      <x:c r="H178" s="38" t="n">
        <x:v>43388</x:v>
      </x:c>
      <x:c r="I178" s="40" t="n">
        <x:v>2</x:v>
      </x:c>
      <x:c r="J178" s="33" t="str"/>
      <x:c r="K178" s="33" t="str"/>
      <x:c r="L178" s="33" t="str"/>
      <x:c r="M178" s="33" t="str">
        <x:v>(33) Gironde</x:v>
      </x:c>
      <x:c r="N178" s="33" t="str">
        <x:v>Oui</x:v>
      </x:c>
      <x:c r="O178" s="33" t="str">
        <x:v>data.gouv.fr_aife</x:v>
      </x:c>
      <x:c r="P178" s="33" t="str">
        <x:v>2018150902004100</x:v>
      </x:c>
    </x:row>
    <x:row r="179">
      <x:c r="A179" s="33" t="str">
        <x:v>2018150901716400</x:v>
      </x:c>
      <x:c r="B179" s="33" t="str">
        <x:v>MINARM / SGA / SPAC - Service Parisien de Soutien de l'Administration Centrale - SPAC</x:v>
      </x:c>
      <x:c r="C179" s="33" t="str">
        <x:v>BEARINGPOINT FRANCE SAS</x:v>
      </x:c>
      <x:c r="D179" s="33" t="str">
        <x:v>Etude prospective et stratégique n° 2018-15 - L'ouverture des implantations de l'armée de l'air (bases, aérodromes, détachements..) aux activités civiles. Quelles opportunités, quelles possibilités, quelles organisations, quel modèle économique ?</x:v>
      </x:c>
      <x:c r="E179" s="33" t="str"/>
      <x:c r="F179" s="36" t="n">
        <x:v>62508</x:v>
      </x:c>
      <x:c r="G179" s="38" t="n">
        <x:v>43388</x:v>
      </x:c>
      <x:c r="H179" s="38" t="n">
        <x:v>43388</x:v>
      </x:c>
      <x:c r="I179" s="40" t="n">
        <x:v>10</x:v>
      </x:c>
      <x:c r="J179" s="33" t="str"/>
      <x:c r="K179" s="33" t="str"/>
      <x:c r="L179" s="33" t="str"/>
      <x:c r="M179" s="33" t="str">
        <x:v>(75) Paris</x:v>
      </x:c>
      <x:c r="N179" s="33" t="str">
        <x:v>Oui</x:v>
      </x:c>
      <x:c r="O179" s="33" t="str">
        <x:v>data.gouv.fr_aife</x:v>
      </x:c>
      <x:c r="P179" s="33" t="str">
        <x:v>2018150901716400</x:v>
      </x:c>
    </x:row>
    <x:row r="180">
      <x:c r="A180" s="33" t="str">
        <x:v>2018100013087500</x:v>
      </x:c>
      <x:c r="B180" s="33" t="str">
        <x:v>MINARM / SSF / DSSF Toulon - Direction du service de soutien de la flotte de Toulon - DSSF Toulon</x:v>
      </x:c>
      <x:c r="C180" s="33" t="str">
        <x:v>LOGNAV-CM</x:v>
      </x:c>
      <x:c r="D180" s="33" t="str">
        <x:v>Accord cadre N° 2016 M 16 T 20 004 relatif à la fourniture de matériels de transmission mécanique et de propulsion pour les besoins nécessaires au maintien en condition opérationnelle des Eléments de la Force Maritime et des Eléments de la Force Armées. -</x:v>
      </x:c>
      <x:c r="E180" s="33" t="str">
        <x:v>Moteur et pièces de moteur pour navires de guerre.</x:v>
      </x:c>
      <x:c r="F180" s="36" t="n">
        <x:v>2914</x:v>
      </x:c>
      <x:c r="G180" s="38" t="n">
        <x:v>43388</x:v>
      </x:c>
      <x:c r="H180" s="38" t="n">
        <x:v>43388</x:v>
      </x:c>
      <x:c r="I180" s="40" t="n">
        <x:v>5</x:v>
      </x:c>
      <x:c r="J180" s="33" t="str"/>
      <x:c r="K180" s="33" t="str"/>
      <x:c r="L180" s="33" t="str"/>
      <x:c r="M180" s="33" t="str">
        <x:v>(83) Var</x:v>
      </x:c>
      <x:c r="N180" s="33" t="str">
        <x:v>Oui</x:v>
      </x:c>
      <x:c r="O180" s="33" t="str">
        <x:v>data.gouv.fr_aife</x:v>
      </x:c>
      <x:c r="P180" s="33" t="str">
        <x:v>2018100013087500</x:v>
      </x:c>
    </x:row>
    <x:row r="181">
      <x:c r="A181" s="33" t="str">
        <x:v>2018150901391800</x:v>
      </x:c>
      <x:c r="B181" s="33" t="str">
        <x:v>MINARM / DMAé / SSAM 33 504 (Beauséjour) - Structure Spécialisée d'achat et de Mandatement 33 504 (Beauséjour)</x:v>
      </x:c>
      <x:c r="C181" s="33" t="str">
        <x:v>A.B.A.</x:v>
      </x:c>
      <x:c r="D181" s="33" t="str">
        <x:v>Essieux</x:v>
      </x:c>
      <x:c r="E181" s="33" t="str">
        <x:v>Essieux.</x:v>
      </x:c>
      <x:c r="F181" s="36" t="n">
        <x:v>115</x:v>
      </x:c>
      <x:c r="G181" s="38" t="n">
        <x:v>43388</x:v>
      </x:c>
      <x:c r="H181" s="38" t="n">
        <x:v>43388</x:v>
      </x:c>
      <x:c r="I181" s="40" t="n">
        <x:v>1</x:v>
      </x:c>
      <x:c r="J181" s="33" t="str"/>
      <x:c r="K181" s="33" t="str"/>
      <x:c r="L181" s="33" t="str"/>
      <x:c r="M181" s="33" t="str">
        <x:v>(33) Gironde</x:v>
      </x:c>
      <x:c r="N181" s="33" t="str">
        <x:v>Oui</x:v>
      </x:c>
      <x:c r="O181" s="33" t="str">
        <x:v>data.gouv.fr_aife</x:v>
      </x:c>
      <x:c r="P181" s="33" t="str">
        <x:v>2018150901391800</x:v>
      </x:c>
    </x:row>
    <x:row r="182">
      <x:c r="A182" s="33" t="str">
        <x:v>2018100013079800</x:v>
      </x:c>
      <x:c r="B182" s="33" t="str">
        <x:v>MINARM / SSF / DSSF Toulon - Direction du service de soutien de la flotte de Toulon - DSSF Toulon</x:v>
      </x:c>
      <x:c r="C182" s="33" t="str">
        <x:v>LOGNAV-CM</x:v>
      </x:c>
      <x:c r="D182" s="33" t="str">
        <x:v>Accord cadre N° 2016M16T20003 relatif à la fourniture de matériels de quincaillerie et d'outillage naval. - Marché subséquent : N° K18T2000346 relatif à la fourniture de divers matériels de quincaillerie de diverses marques ou équivalent. -</x:v>
      </x:c>
      <x:c r="E182" s="33" t="str">
        <x:v>Quincaillerie.</x:v>
      </x:c>
      <x:c r="F182" s="36" t="n">
        <x:v>19337</x:v>
      </x:c>
      <x:c r="G182" s="38" t="n">
        <x:v>43388</x:v>
      </x:c>
      <x:c r="H182" s="38" t="n">
        <x:v>43388</x:v>
      </x:c>
      <x:c r="I182" s="40" t="n">
        <x:v>4</x:v>
      </x:c>
      <x:c r="J182" s="33" t="str"/>
      <x:c r="K182" s="33" t="str"/>
      <x:c r="L182" s="33" t="str"/>
      <x:c r="M182" s="33" t="str">
        <x:v>(08) Ardennes</x:v>
      </x:c>
      <x:c r="N182" s="33" t="str">
        <x:v>Oui</x:v>
      </x:c>
      <x:c r="O182" s="33" t="str">
        <x:v>data.gouv.fr_aife</x:v>
      </x:c>
      <x:c r="P182" s="33" t="str">
        <x:v>2018100013079800</x:v>
      </x:c>
    </x:row>
    <x:row r="183">
      <x:c r="A183" s="33" t="str">
        <x:v>2018100013103400</x:v>
      </x:c>
      <x:c r="B183" s="33" t="str">
        <x:v>MINARM / SSF / DSSF Toulon - Direction du service de soutien de la flotte de Toulon - DSSF Toulon</x:v>
      </x:c>
      <x:c r="C183" s="33" t="str">
        <x:v>LE LITTORAL</x:v>
      </x:c>
      <x:c r="D183" s="33" t="str">
        <x:v>Accord cadre N° 2016 M 16 T 20 010 relatif à l’approvisionnement de matériels électriques et électroniques pour le maintien en condition opérationnelle (MCO) des Eléments de Force Maritime (EFM) et des Eléments de Force Armées (EFA). - Marché subséquent...</x:v>
      </x:c>
      <x:c r="E183" s="33" t="str">
        <x:v>Pièces électroniques et électriques de rechange pour navires de guerre.</x:v>
      </x:c>
      <x:c r="F183" s="36" t="n">
        <x:v>3861</x:v>
      </x:c>
      <x:c r="G183" s="38" t="n">
        <x:v>43388</x:v>
      </x:c>
      <x:c r="H183" s="38" t="n">
        <x:v>43388</x:v>
      </x:c>
      <x:c r="I183" s="40" t="n">
        <x:v>2</x:v>
      </x:c>
      <x:c r="J183" s="33" t="str"/>
      <x:c r="K183" s="33" t="str"/>
      <x:c r="L183" s="33" t="str"/>
      <x:c r="M183" s="33" t="str">
        <x:v>(83) Var</x:v>
      </x:c>
      <x:c r="N183" s="33" t="str">
        <x:v>Oui</x:v>
      </x:c>
      <x:c r="O183" s="33" t="str">
        <x:v>data.gouv.fr_aife</x:v>
      </x:c>
      <x:c r="P183" s="33" t="str">
        <x:v>2018100013103400</x:v>
      </x:c>
    </x:row>
    <x:row r="184">
      <x:c r="A184" s="33" t="str">
        <x:v>2018150900766200</x:v>
      </x:c>
      <x:c r="B184" s="33" t="str">
        <x:v>MINARM / SGA / SID / ESID Toulon - Etablissement du service d'infrastructure de la défense de Toulon - ESID Toulon</x:v>
      </x:c>
      <x:c r="C184" s="33" t="str">
        <x:v>SNEF</x:v>
      </x:c>
      <x:c r="D184" s="33" t="str">
        <x:v>Saint Mandrier Pôle Ecole Méditerranée Mise en conformité électrique et incendie - Bâtiment G Sud - O Sud Nc Sud - U Nord : Lot 2 - Electricité - Incendie.</x:v>
      </x:c>
      <x:c r="E184" s="33" t="str">
        <x:v>Travaux de réfection.</x:v>
      </x:c>
      <x:c r="F184" s="36" t="n">
        <x:v>249716</x:v>
      </x:c>
      <x:c r="G184" s="38" t="n">
        <x:v>43389</x:v>
      </x:c>
      <x:c r="H184" s="38" t="n">
        <x:v>43389</x:v>
      </x:c>
      <x:c r="I184" s="40" t="n">
        <x:v>13</x:v>
      </x:c>
      <x:c r="J184" s="33" t="str"/>
      <x:c r="K184" s="33" t="str"/>
      <x:c r="L184" s="33" t="str"/>
      <x:c r="M184" s="33" t="str">
        <x:v>(83) Var</x:v>
      </x:c>
      <x:c r="N184" s="33" t="str">
        <x:v>Oui</x:v>
      </x:c>
      <x:c r="O184" s="33" t="str">
        <x:v>data.gouv.fr_aife</x:v>
      </x:c>
      <x:c r="P184" s="33" t="str">
        <x:v>2018150900766200</x:v>
      </x:c>
    </x:row>
    <x:row r="185">
      <x:c r="A185" s="33" t="str">
        <x:v>2018130013790200</x:v>
      </x:c>
      <x:c r="B185" s="33" t="str">
        <x:v>MINARM / SGA / SID / ESID Metz - Etablissement du service d'infrastructure de la défense de Metz - ESID Metz</x:v>
      </x:c>
      <x:c r="C185" s="33" t="str">
        <x:v>SOC EXPLOITATION ENTREPRISE BONANDRINI</x:v>
      </x:c>
      <x:c r="D185" s="33" t="str">
        <x:v>SAONE et LOIRE (71) - Accord cadre à bons de commande sur bordereau de prix, pour l'exécution des travaux d'entretien, de réparation et d'aménagement, des immeubles militaires, dépendant de l'unité de soutien de l'infrastructure de la défense de Besanço...</x:v>
      </x:c>
      <x:c r="E185" s="33" t="str">
        <x:v>Travaux de maçonnerie.</x:v>
      </x:c>
      <x:c r="F185" s="36" t="n">
        <x:v>1298927</x:v>
      </x:c>
      <x:c r="G185" s="38" t="n">
        <x:v>43389</x:v>
      </x:c>
      <x:c r="H185" s="38" t="n">
        <x:v>43389</x:v>
      </x:c>
      <x:c r="I185" s="40" t="n">
        <x:v>48</x:v>
      </x:c>
      <x:c r="J185" s="33" t="str"/>
      <x:c r="K185" s="33" t="str"/>
      <x:c r="L185" s="33" t="str"/>
      <x:c r="M185" s="33" t="str">
        <x:v>(57) Moselle</x:v>
      </x:c>
      <x:c r="N185" s="33" t="str">
        <x:v>Oui</x:v>
      </x:c>
      <x:c r="O185" s="33" t="str">
        <x:v>data.gouv.fr_aife</x:v>
      </x:c>
      <x:c r="P185" s="33" t="str">
        <x:v>2018130013790200</x:v>
      </x:c>
    </x:row>
    <x:row r="186">
      <x:c r="A186" s="33" t="str">
        <x:v>2018100013052100</x:v>
      </x:c>
      <x:c r="B186" s="33" t="str">
        <x:v>MINARM / SSF / DSSF Toulon - Direction du service de soutien de la flotte de Toulon - DSSF Toulon</x:v>
      </x:c>
      <x:c r="C186" s="33" t="str">
        <x:v>DISTRAME</x:v>
      </x:c>
      <x:c r="D186" s="33" t="str">
        <x:v>Accord cadre N° 2016M16T20015 relatif à l’approvisionnement de fourniture de matériels de mesure et de contrôle nécessaires au maintien en condition opérationnelle (MCO) des Eléments de Force Maritime (EFM) et des Eléments de Force Armées (EFA). - March...</x:v>
      </x:c>
      <x:c r="E186" s="33" t="str">
        <x:v>Pièces pour navires de guerre.</x:v>
      </x:c>
      <x:c r="F186" s="36" t="n">
        <x:v>49995</x:v>
      </x:c>
      <x:c r="G186" s="38" t="n">
        <x:v>43389</x:v>
      </x:c>
      <x:c r="H186" s="38" t="n">
        <x:v>43389</x:v>
      </x:c>
      <x:c r="I186" s="40" t="n">
        <x:v>3</x:v>
      </x:c>
      <x:c r="J186" s="33" t="str"/>
      <x:c r="K186" s="33" t="str"/>
      <x:c r="L186" s="33" t="str"/>
      <x:c r="M186" s="33" t="str">
        <x:v>(83) Var</x:v>
      </x:c>
      <x:c r="N186" s="33" t="str">
        <x:v>Oui</x:v>
      </x:c>
      <x:c r="O186" s="33" t="str">
        <x:v>data.gouv.fr_aife</x:v>
      </x:c>
      <x:c r="P186" s="33" t="str">
        <x:v>2018100013052100</x:v>
      </x:c>
    </x:row>
    <x:row r="187">
      <x:c r="A187" s="33" t="str">
        <x:v>2018150899189900</x:v>
      </x:c>
      <x:c r="B187" s="33" t="str">
        <x:v>MINARM / SGA / SID / ESID Metz - Etablissement du service d'infrastructure de la défense de Metz - ESID Metz</x:v>
      </x:c>
      <x:c r="C187" s="33" t="str">
        <x:v>SDM CONSTRUCTION</x:v>
      </x:c>
      <x:c r="D187" s="33" t="str">
        <x:v>Réfection des salles deau du 1er étage au bâtiment 0147 du quartier La Horie à PHALSBOURG (Moselle 57)</x:v>
      </x:c>
      <x:c r="E187" s="33" t="str">
        <x:v>Travaux de chantier.</x:v>
      </x:c>
      <x:c r="F187" s="36" t="n">
        <x:v>90000</x:v>
      </x:c>
      <x:c r="G187" s="38" t="n">
        <x:v>43389</x:v>
      </x:c>
      <x:c r="H187" s="38" t="n">
        <x:v>43389</x:v>
      </x:c>
      <x:c r="I187" s="40" t="n">
        <x:v>4</x:v>
      </x:c>
      <x:c r="J187" s="33" t="str"/>
      <x:c r="K187" s="33" t="str"/>
      <x:c r="L187" s="33" t="str"/>
      <x:c r="M187" s="33" t="str">
        <x:v>(57) Moselle</x:v>
      </x:c>
      <x:c r="N187" s="33" t="str">
        <x:v>Oui</x:v>
      </x:c>
      <x:c r="O187" s="33" t="str">
        <x:v>data.gouv.fr_aife</x:v>
      </x:c>
      <x:c r="P187" s="33" t="str">
        <x:v>2018150899189900</x:v>
      </x:c>
    </x:row>
    <x:row r="188">
      <x:c r="A188" s="33" t="str">
        <x:v>2018170008941100</x:v>
      </x:c>
      <x:c r="B188" s="33" t="str">
        <x:v>MINARM / SCA / PFC Ouest - Plate-forme commissariat Ouest (Rennes)</x:v>
      </x:c>
      <x:c r="C188" s="33" t="str">
        <x:v>SIGNATURE FRISSONS</x:v>
      </x:c>
      <x:c r="D188" s="33" t="str">
        <x:v>Gestion et exécution de prestations de services, techniques, logistiques, de conduite et de suivi, pour l'organisation d'épreuves dans le cadre d'un challenge au profit de la DGA.</x:v>
      </x:c>
      <x:c r="E188" s="33" t="str">
        <x:v>Services d'organisation d'évènements .</x:v>
      </x:c>
      <x:c r="F188" s="36" t="n">
        <x:v>213204</x:v>
      </x:c>
      <x:c r="G188" s="38" t="n">
        <x:v>43389</x:v>
      </x:c>
      <x:c r="H188" s="38" t="n">
        <x:v>43389</x:v>
      </x:c>
      <x:c r="I188" s="40" t="n">
        <x:v>24</x:v>
      </x:c>
      <x:c r="J188" s="33" t="str"/>
      <x:c r="K188" s="33" t="str"/>
      <x:c r="L188" s="33" t="str"/>
      <x:c r="M188" s="33" t="str">
        <x:v>(18) Cher</x:v>
      </x:c>
      <x:c r="N188" s="33" t="str">
        <x:v>Oui</x:v>
      </x:c>
      <x:c r="O188" s="33" t="str">
        <x:v>data.gouv.fr_aife</x:v>
      </x:c>
      <x:c r="P188" s="33" t="str">
        <x:v>2018170008941100</x:v>
      </x:c>
    </x:row>
    <x:row r="189">
      <x:c r="A189" s="33" t="str">
        <x:v>2018130013853800</x:v>
      </x:c>
      <x:c r="B189" s="33" t="str">
        <x:v>MINARM / SSA / DAPSA - Direction des Approvisionnements en produits de santé des armées</x:v>
      </x:c>
      <x:c r="C189" s="33" t="str">
        <x:v>STRYKER FRANCE SA</x:v>
      </x:c>
      <x:c r="D189" s="33" t="str">
        <x:v>Fourniture de dispositifs médicaux implantables d'orthopédie pour fixateurs externes opérationnels PERCY FX ou équivalent et ancillaires dédiés</x:v>
      </x:c>
      <x:c r="E189" s="33" t="str">
        <x:v>Matériel d'ostéosynthèse.</x:v>
      </x:c>
      <x:c r="F189" s="36" t="n">
        <x:v>125252</x:v>
      </x:c>
      <x:c r="G189" s="38" t="n">
        <x:v>43389</x:v>
      </x:c>
      <x:c r="H189" s="38" t="n">
        <x:v>43389</x:v>
      </x:c>
      <x:c r="I189" s="40" t="n">
        <x:v>84</x:v>
      </x:c>
      <x:c r="J189" s="33" t="str"/>
      <x:c r="K189" s="33" t="str"/>
      <x:c r="L189" s="33" t="str"/>
      <x:c r="M189" s="33" t="str">
        <x:v>(29) Finistère</x:v>
      </x:c>
      <x:c r="N189" s="33" t="str">
        <x:v>Oui</x:v>
      </x:c>
      <x:c r="O189" s="33" t="str">
        <x:v>data.gouv.fr_aife</x:v>
      </x:c>
      <x:c r="P189" s="33" t="str">
        <x:v>2018130013853800</x:v>
      </x:c>
    </x:row>
    <x:row r="190">
      <x:c r="A190" s="33" t="str">
        <x:v>20182018S0003600</x:v>
      </x:c>
      <x:c r="B190" s="33" t="str">
        <x:v>MINARM / ESTM / EPA / ONAC - Office National des Anciens Combattants et victimes de guerre</x:v>
      </x:c>
      <x:c r="C190" s="33" t="str">
        <x:v>INGENIERIE PHILIPPE HENNEGRAVE</x:v>
      </x:c>
      <x:c r="D190" s="33" t="str">
        <x:v>Mission de maîtrise d'oeuvre pour la consolidation de la terrasse panoramique du Mémorial du Mont-Valérien à Suresnes (92)</x:v>
      </x:c>
      <x:c r="E190" s="33" t="str">
        <x:v>Services d'architecture , services de construction, services d'ingénierie et services d'inspection.</x:v>
      </x:c>
      <x:c r="F190" s="36" t="n">
        <x:v>25300</x:v>
      </x:c>
      <x:c r="G190" s="38" t="n">
        <x:v>43389</x:v>
      </x:c>
      <x:c r="H190" s="38" t="n">
        <x:v>43389</x:v>
      </x:c>
      <x:c r="I190" s="40" t="n">
        <x:v>24</x:v>
      </x:c>
      <x:c r="J190" s="33" t="str">
        <x:v>Marché</x:v>
      </x:c>
      <x:c r="K190" s="33" t="str">
        <x:v>Procédure adaptée</x:v>
      </x:c>
      <x:c r="L190" s="33" t="str">
        <x:v>Ferme</x:v>
      </x:c>
      <x:c r="M190" s="33" t="str">
        <x:v>(92) Hauts-de-Seine</x:v>
      </x:c>
      <x:c r="N190" s="33" t="str">
        <x:v>Oui</x:v>
      </x:c>
      <x:c r="O190" s="33" t="str">
        <x:v>data.gouv.fr_aife</x:v>
      </x:c>
      <x:c r="P190" s="33" t="str">
        <x:v>20182018S0003600</x:v>
      </x:c>
    </x:row>
    <x:row r="191">
      <x:c r="A191" s="33" t="str">
        <x:v>2018150903145900</x:v>
      </x:c>
      <x:c r="B191" s="33" t="str">
        <x:v>MINARM / SGA / SID / ESID Toulon - Etablissement du service d'infrastructure de la défense de Toulon - ESID Toulon</x:v>
      </x:c>
      <x:c r="C191" s="33" t="str">
        <x:v>SOUCHON CONSTRUCTIONS</x:v>
      </x:c>
      <x:c r="D191" s="33" t="str">
        <x:v>Hyères - 54 RA - Vassoigne - Salle polyvalente - Travaux d'accessibilité Ad'AP.</x:v>
      </x:c>
      <x:c r="E191" s="33" t="str">
        <x:v>Travaux de maçonnerie.</x:v>
      </x:c>
      <x:c r="F191" s="36" t="n">
        <x:v>41940</x:v>
      </x:c>
      <x:c r="G191" s="38" t="n">
        <x:v>43389</x:v>
      </x:c>
      <x:c r="H191" s="38" t="n">
        <x:v>43389</x:v>
      </x:c>
      <x:c r="I191" s="40" t="n">
        <x:v>1</x:v>
      </x:c>
      <x:c r="J191" s="33" t="str"/>
      <x:c r="K191" s="33" t="str"/>
      <x:c r="L191" s="33" t="str"/>
      <x:c r="M191" s="33" t="str">
        <x:v>(83) Var</x:v>
      </x:c>
      <x:c r="N191" s="33" t="str">
        <x:v>Oui</x:v>
      </x:c>
      <x:c r="O191" s="33" t="str">
        <x:v>data.gouv.fr_aife</x:v>
      </x:c>
      <x:c r="P191" s="33" t="str">
        <x:v>2018150903145900</x:v>
      </x:c>
    </x:row>
    <x:row r="192">
      <x:c r="A192" s="33" t="str">
        <x:v>2018150903136600</x:v>
      </x:c>
      <x:c r="B192" s="33" t="str">
        <x:v>MINARM / SSF / DSSF Brest - Direction du service de soutien de la flotte de Brest - DSSF Brest</x:v>
      </x:c>
      <x:c r="C192" s="33" t="str">
        <x:v>TRIPARTITE</x:v>
      </x:c>
      <x:c r="D192" s="33" t="str">
        <x:v>Approvisionnement de rechanges mécaniques de marques diverses ou équivalent au profit des bâtiments de la Marine Nationale</x:v>
      </x:c>
      <x:c r="E192" s="33" t="str">
        <x:v>Pièces de rechange pour coque et pièces mécaniques pour navires de guerre.</x:v>
      </x:c>
      <x:c r="F192" s="36" t="n">
        <x:v>3383</x:v>
      </x:c>
      <x:c r="G192" s="38" t="n">
        <x:v>43389</x:v>
      </x:c>
      <x:c r="H192" s="38" t="n">
        <x:v>43389</x:v>
      </x:c>
      <x:c r="I192" s="40" t="n">
        <x:v>2</x:v>
      </x:c>
      <x:c r="J192" s="33" t="str"/>
      <x:c r="K192" s="33" t="str"/>
      <x:c r="L192" s="33" t="str"/>
      <x:c r="M192" s="33" t="str">
        <x:v>(29) Finistère</x:v>
      </x:c>
      <x:c r="N192" s="33" t="str">
        <x:v>Oui</x:v>
      </x:c>
      <x:c r="O192" s="33" t="str">
        <x:v>data.gouv.fr_aife</x:v>
      </x:c>
      <x:c r="P192" s="33" t="str">
        <x:v>2018150903136600</x:v>
      </x:c>
    </x:row>
    <x:row r="193">
      <x:c r="A193" s="33" t="str">
        <x:v>2018100013104600</x:v>
      </x:c>
      <x:c r="B193" s="33" t="str">
        <x:v>MINARM / SSF / DSSF Toulon - Direction du service de soutien de la flotte de Toulon - DSSF Toulon</x:v>
      </x:c>
      <x:c r="C193" s="33" t="str">
        <x:v>LOGNAV-CM</x:v>
      </x:c>
      <x:c r="D193" s="33" t="str">
        <x:v>Accord cadre M16T20 014 relatif à l’approvisionnement de matériels courants de pompes et compresseurs, surpresseurs et accessoires associés pour les besoins nécessaires au maintien en condition opérationnelle (MCO) des Eléments de Force Maritime (EFM) e...</x:v>
      </x:c>
      <x:c r="E193" s="33" t="str">
        <x:v>Pièces pour navires de guerre.</x:v>
      </x:c>
      <x:c r="F193" s="36" t="n">
        <x:v>5566</x:v>
      </x:c>
      <x:c r="G193" s="38" t="n">
        <x:v>43389</x:v>
      </x:c>
      <x:c r="H193" s="38" t="n">
        <x:v>43389</x:v>
      </x:c>
      <x:c r="I193" s="40" t="n">
        <x:v>3</x:v>
      </x:c>
      <x:c r="J193" s="33" t="str"/>
      <x:c r="K193" s="33" t="str"/>
      <x:c r="L193" s="33" t="str"/>
      <x:c r="M193" s="33" t="str">
        <x:v>(83) Var</x:v>
      </x:c>
      <x:c r="N193" s="33" t="str">
        <x:v>Oui</x:v>
      </x:c>
      <x:c r="O193" s="33" t="str">
        <x:v>data.gouv.fr_aife</x:v>
      </x:c>
      <x:c r="P193" s="33" t="str">
        <x:v>2018100013104600</x:v>
      </x:c>
    </x:row>
    <x:row r="194">
      <x:c r="A194" s="33" t="str">
        <x:v>2018100013100600</x:v>
      </x:c>
      <x:c r="B194" s="33" t="str">
        <x:v>MINARM / SGA / SID / ESID Toulon - Etablissement du service d'infrastructure de la défense de Toulon - ESID Toulon</x:v>
      </x:c>
      <x:c r="C194" s="33" t="str">
        <x:v>ECOTOIT</x:v>
      </x:c>
      <x:c r="D194" s="33" t="str">
        <x:v>Hyères - IGESA de Porquerolles - Nettoyage de toitures et remise en état des gouttières.</x:v>
      </x:c>
      <x:c r="E194" s="33" t="str">
        <x:v>Travaux d'entretien de toiture.</x:v>
      </x:c>
      <x:c r="F194" s="36" t="n">
        <x:v>21898</x:v>
      </x:c>
      <x:c r="G194" s="38" t="n">
        <x:v>43390</x:v>
      </x:c>
      <x:c r="H194" s="38" t="n">
        <x:v>43390</x:v>
      </x:c>
      <x:c r="I194" s="40" t="n">
        <x:v>4</x:v>
      </x:c>
      <x:c r="J194" s="33" t="str"/>
      <x:c r="K194" s="33" t="str"/>
      <x:c r="L194" s="33" t="str"/>
      <x:c r="M194" s="33" t="str">
        <x:v>(83) Var</x:v>
      </x:c>
      <x:c r="N194" s="33" t="str">
        <x:v>Oui</x:v>
      </x:c>
      <x:c r="O194" s="33" t="str">
        <x:v>data.gouv.fr_aife</x:v>
      </x:c>
      <x:c r="P194" s="33" t="str">
        <x:v>2018100013100600</x:v>
      </x:c>
    </x:row>
    <x:row r="195">
      <x:c r="A195" s="33" t="str">
        <x:v>2018100013105400</x:v>
      </x:c>
      <x:c r="B195" s="33" t="str">
        <x:v>MINARM / SSF / DSSF Toulon - Direction du service de soutien de la flotte de Toulon - DSSF Toulon</x:v>
      </x:c>
      <x:c r="C195" s="33" t="str">
        <x:v>ETABLISSEMENTS POUDEVIGNE</x:v>
      </x:c>
      <x:c r="D195" s="33" t="str">
        <x:v>Accord cadre No 2015M15T20025 relatif à la fourniture de matériels de robinetterie tels que vannes, soupapes, clapets, robinets, détendeurs, valves, raccords, coudes, tubes, tuyaux, colliers, brides, manchons, flexibles et accessoires associés pour le</x:v>
      </x:c>
      <x:c r="E195" s="33" t="str">
        <x:v>Pièces pour navires de guerre.</x:v>
      </x:c>
      <x:c r="F195" s="36" t="n">
        <x:v>36880</x:v>
      </x:c>
      <x:c r="G195" s="38" t="n">
        <x:v>43390</x:v>
      </x:c>
      <x:c r="H195" s="38" t="n">
        <x:v>43390</x:v>
      </x:c>
      <x:c r="I195" s="40" t="n">
        <x:v>4</x:v>
      </x:c>
      <x:c r="J195" s="33" t="str">
        <x:v>Marché subséquent</x:v>
      </x:c>
      <x:c r="K195" s="33" t="str">
        <x:v>Appel d'offres ouvert</x:v>
      </x:c>
      <x:c r="L195" s="33" t="str">
        <x:v>Ferme et actualisable</x:v>
      </x:c>
      <x:c r="M195" s="33" t="str">
        <x:v>(83) Var</x:v>
      </x:c>
      <x:c r="N195" s="33" t="str">
        <x:v>Oui</x:v>
      </x:c>
      <x:c r="O195" s="33" t="str">
        <x:v>data.gouv.fr_aife</x:v>
      </x:c>
      <x:c r="P195" s="33" t="str">
        <x:v>2018100013105400</x:v>
      </x:c>
    </x:row>
    <x:row r="196">
      <x:c r="A196" s="33" t="str">
        <x:v>2018100013099700</x:v>
      </x:c>
      <x:c r="B196" s="33" t="str">
        <x:v>MINARM / SSF / DSSF Toulon - Direction du service de soutien de la flotte de Toulon - DSSF Toulon</x:v>
      </x:c>
      <x:c r="C196" s="33" t="str">
        <x:v>F.P.M.</x:v>
      </x:c>
      <x:c r="D196" s="33" t="str">
        <x:v>Accord cadre No 2015M15T20025 relatif à la fourniture de matériels de robinetterie tels que vannes, soupapes, clapets, robinets, détendeurs, valves, raccords, coudes, tubes, tuyaux, colliers, brides, manchons, flexibles et accessoires associés pour le</x:v>
      </x:c>
      <x:c r="E196" s="33" t="str">
        <x:v>Pièces pour navires de guerre.</x:v>
      </x:c>
      <x:c r="F196" s="36" t="n">
        <x:v>14651</x:v>
      </x:c>
      <x:c r="G196" s="38" t="n">
        <x:v>43390</x:v>
      </x:c>
      <x:c r="H196" s="38" t="n">
        <x:v>43390</x:v>
      </x:c>
      <x:c r="I196" s="40" t="n">
        <x:v>3</x:v>
      </x:c>
      <x:c r="J196" s="33" t="str">
        <x:v>Marché subséquent</x:v>
      </x:c>
      <x:c r="K196" s="33" t="str">
        <x:v>Appel d'offres ouvert</x:v>
      </x:c>
      <x:c r="L196" s="33" t="str">
        <x:v>Ferme et actualisable</x:v>
      </x:c>
      <x:c r="M196" s="33" t="str">
        <x:v>(83) Var</x:v>
      </x:c>
      <x:c r="N196" s="33" t="str">
        <x:v>Oui</x:v>
      </x:c>
      <x:c r="O196" s="33" t="str">
        <x:v>data.gouv.fr_aife</x:v>
      </x:c>
      <x:c r="P196" s="33" t="str">
        <x:v>2018100013099700</x:v>
      </x:c>
    </x:row>
    <x:row r="197">
      <x:c r="A197" s="33" t="str">
        <x:v>2018150903140900</x:v>
      </x:c>
      <x:c r="B197" s="33" t="str">
        <x:v>MINARM / SGA / SID / ESID Metz - Etablissement du service d'infrastructure de la défense de Metz - ESID Metz</x:v>
      </x:c>
      <x:c r="C197" s="33" t="str">
        <x:v>BUREAU VERITAS</x:v>
      </x:c>
      <x:c r="D197" s="33" t="str">
        <x:v>Projet n°18-PCO03-060 - MOURMELON LE GRAND (51) - Camp de Mourmelon - Zone 4 - Quartier Joffre - CIRISI - Bâtiment 0176 - Réhabilitation du bâtiment et installation du CIRISI de Châlons-en-Champagne - Marché de contrôle technique.</x:v>
      </x:c>
      <x:c r="E197" s="33" t="str">
        <x:v>Services de contrôle technique.</x:v>
      </x:c>
      <x:c r="F197" s="36" t="n">
        <x:v>3600</x:v>
      </x:c>
      <x:c r="G197" s="38" t="n">
        <x:v>43390</x:v>
      </x:c>
      <x:c r="H197" s="38" t="n">
        <x:v>43390</x:v>
      </x:c>
      <x:c r="I197" s="40" t="n">
        <x:v>19</x:v>
      </x:c>
      <x:c r="J197" s="33" t="str"/>
      <x:c r="K197" s="33" t="str"/>
      <x:c r="L197" s="33" t="str"/>
      <x:c r="M197" s="33" t="str">
        <x:v>(57) Moselle</x:v>
      </x:c>
      <x:c r="N197" s="33" t="str">
        <x:v>Oui</x:v>
      </x:c>
      <x:c r="O197" s="33" t="str">
        <x:v>data.gouv.fr_aife</x:v>
      </x:c>
      <x:c r="P197" s="33" t="str">
        <x:v>2018150903140900</x:v>
      </x:c>
    </x:row>
    <x:row r="198">
      <x:c r="A198" s="33" t="str">
        <x:v>2018100013102700</x:v>
      </x:c>
      <x:c r="B198" s="33" t="str">
        <x:v>MINARM / SSF / DSSF Brest - Direction du service de soutien de la flotte de Brest - DSSF Brest</x:v>
      </x:c>
      <x:c r="C198" s="33" t="str">
        <x:v>IXBLUE</x:v>
      </x:c>
      <x:c r="D198" s="33" t="str">
        <x:v>Approvisionnement de gyrocompas QUADRANS+ de marque IXBLUE au profit des bâtiments de la Marine Nationale.</x:v>
      </x:c>
      <x:c r="E198" s="33" t="str">
        <x:v>Instruments de navigation et de météorologie.</x:v>
      </x:c>
      <x:c r="F198" s="36" t="n">
        <x:v>140000</x:v>
      </x:c>
      <x:c r="G198" s="38" t="n">
        <x:v>43390</x:v>
      </x:c>
      <x:c r="H198" s="38" t="n">
        <x:v>43390</x:v>
      </x:c>
      <x:c r="I198" s="40" t="n">
        <x:v>6</x:v>
      </x:c>
      <x:c r="J198" s="33" t="str">
        <x:v>Marché</x:v>
      </x:c>
      <x:c r="K198" s="33" t="str"/>
      <x:c r="L198" s="33" t="str">
        <x:v>Ferme et actualisable</x:v>
      </x:c>
      <x:c r="M198" s="33" t="str">
        <x:v>(29) Finistère</x:v>
      </x:c>
      <x:c r="N198" s="33" t="str">
        <x:v>Oui</x:v>
      </x:c>
      <x:c r="O198" s="33" t="str">
        <x:v>data.gouv.fr_aife</x:v>
      </x:c>
      <x:c r="P198" s="33" t="str">
        <x:v>2018100013102700</x:v>
      </x:c>
    </x:row>
    <x:row r="199">
      <x:c r="A199" s="33" t="str">
        <x:v>2018150903141300</x:v>
      </x:c>
      <x:c r="B199" s="33" t="str">
        <x:v>MINARM / SSF / DSSF Brest - Direction du service de soutien de la flotte de Brest - DSSF Brest</x:v>
      </x:c>
      <x:c r="C199" s="33" t="str">
        <x:v>LOGNAV-CM</x:v>
      </x:c>
      <x:c r="D199" s="33" t="str">
        <x:v>Approvisionnement de produits de décapage de marque SPCB ou équivalent au profit de bâtiments de la marine nationale.</x:v>
      </x:c>
      <x:c r="E199" s="33" t="str">
        <x:v>Pièces de rechange pour coque et pièces mécaniques pour navires de guerre.</x:v>
      </x:c>
      <x:c r="F199" s="36" t="n">
        <x:v>3568</x:v>
      </x:c>
      <x:c r="G199" s="38" t="n">
        <x:v>43390</x:v>
      </x:c>
      <x:c r="H199" s="38" t="n">
        <x:v>43390</x:v>
      </x:c>
      <x:c r="I199" s="40" t="n">
        <x:v>1</x:v>
      </x:c>
      <x:c r="J199" s="33" t="str"/>
      <x:c r="K199" s="33" t="str"/>
      <x:c r="L199" s="33" t="str"/>
      <x:c r="M199" s="33" t="str">
        <x:v>(29) Finistère</x:v>
      </x:c>
      <x:c r="N199" s="33" t="str">
        <x:v>Oui</x:v>
      </x:c>
      <x:c r="O199" s="33" t="str">
        <x:v>data.gouv.fr_aife</x:v>
      </x:c>
      <x:c r="P199" s="33" t="str">
        <x:v>2018150903141300</x:v>
      </x:c>
    </x:row>
    <x:row r="200">
      <x:c r="A200" s="33" t="str">
        <x:v>2018150903892900</x:v>
      </x:c>
      <x:c r="B200" s="33" t="str">
        <x:v>MINARM / SSF / DSSF Brest - Direction du service de soutien de la flotte de Brest - DSSF Brest</x:v>
      </x:c>
      <x:c r="C200" s="33" t="str">
        <x:v>LOGNAV-CM</x:v>
      </x:c>
      <x:c r="D200" s="33" t="str">
        <x:v>Fourniture de mâts radar de diverses marques ou équivalents au profit des unités de la marine nationale</x:v>
      </x:c>
      <x:c r="E200" s="33" t="str">
        <x:v>Pièces pour navires de guerre.</x:v>
      </x:c>
      <x:c r="F200" s="36" t="n">
        <x:v>54093</x:v>
      </x:c>
      <x:c r="G200" s="38" t="n">
        <x:v>43390</x:v>
      </x:c>
      <x:c r="H200" s="38" t="n">
        <x:v>43390</x:v>
      </x:c>
      <x:c r="I200" s="40" t="n">
        <x:v>11</x:v>
      </x:c>
      <x:c r="J200" s="33" t="str">
        <x:v>Marché</x:v>
      </x:c>
      <x:c r="K200" s="33" t="str">
        <x:v>Procédure adaptée</x:v>
      </x:c>
      <x:c r="L200" s="33" t="str">
        <x:v>Ferme</x:v>
      </x:c>
      <x:c r="M200" s="33" t="str">
        <x:v>(29) Finistère</x:v>
      </x:c>
      <x:c r="N200" s="33" t="str">
        <x:v>Oui</x:v>
      </x:c>
      <x:c r="O200" s="33" t="str">
        <x:v>data.gouv.fr_aife</x:v>
      </x:c>
      <x:c r="P200" s="33" t="str">
        <x:v>2018150903892900</x:v>
      </x:c>
    </x:row>
    <x:row r="201">
      <x:c r="A201" s="33" t="str">
        <x:v>2018130013824200</x:v>
      </x:c>
      <x:c r="B201" s="33" t="str">
        <x:v>MINARM / SSF / DSSF Toulon - Direction du service de soutien de la flotte de Toulon - DSSF Toulon</x:v>
      </x:c>
      <x:c r="C201" s="33" t="str">
        <x:v>G.FARGAMEL SAS</x:v>
      </x:c>
      <x:c r="D201" s="33" t="str">
        <x:v>Fourniture de cordages en fibres synthétiques et naturelles.</x:v>
      </x:c>
      <x:c r="E201" s="33" t="str">
        <x:v>Navires de guerre et pièces connexes.</x:v>
      </x:c>
      <x:c r="F201" s="36" t="n">
        <x:v>1083333</x:v>
      </x:c>
      <x:c r="G201" s="38" t="n">
        <x:v>43390</x:v>
      </x:c>
      <x:c r="H201" s="38" t="n">
        <x:v>43390</x:v>
      </x:c>
      <x:c r="I201" s="40" t="n">
        <x:v>48</x:v>
      </x:c>
      <x:c r="J201" s="33" t="str"/>
      <x:c r="K201" s="33" t="str"/>
      <x:c r="L201" s="33" t="str"/>
      <x:c r="M201" s="33" t="str">
        <x:v>(83) Var</x:v>
      </x:c>
      <x:c r="N201" s="33" t="str">
        <x:v>Oui</x:v>
      </x:c>
      <x:c r="O201" s="33" t="str">
        <x:v>data.gouv.fr_aife</x:v>
      </x:c>
      <x:c r="P201" s="33" t="str">
        <x:v>2018130013824200</x:v>
      </x:c>
    </x:row>
    <x:row r="202">
      <x:c r="A202" s="33" t="str">
        <x:v>2018150903510500</x:v>
      </x:c>
      <x:c r="B202" s="33" t="str">
        <x:v>MINARM / SCA / PFC Sud - Plate-forme commissariat Sud (Toulon)</x:v>
      </x:c>
      <x:c r="C202" s="33" t="str">
        <x:v>FUJIFILM</x:v>
      </x:c>
      <x:c r="D202" s="33" t="str">
        <x:v>Acquisition de deux jumelles gyrostabilisées à vision nocturne au profit de la flottille 24F de la base aéronavale de Lann-Bihoué</x:v>
      </x:c>
      <x:c r="E202" s="33" t="str">
        <x:v>Lunettes de vision nocturne.</x:v>
      </x:c>
      <x:c r="F202" s="36" t="n">
        <x:v>38724</x:v>
      </x:c>
      <x:c r="G202" s="38" t="n">
        <x:v>43391</x:v>
      </x:c>
      <x:c r="H202" s="38" t="n">
        <x:v>43391</x:v>
      </x:c>
      <x:c r="I202" s="40" t="n">
        <x:v>12</x:v>
      </x:c>
      <x:c r="J202" s="33" t="str"/>
      <x:c r="K202" s="33" t="str"/>
      <x:c r="L202" s="33" t="str"/>
      <x:c r="M202" s="33" t="str">
        <x:v>(83) Var</x:v>
      </x:c>
      <x:c r="N202" s="33" t="str">
        <x:v>Oui</x:v>
      </x:c>
      <x:c r="O202" s="33" t="str">
        <x:v>data.gouv.fr_aife</x:v>
      </x:c>
      <x:c r="P202" s="33" t="str">
        <x:v>2018150903510500</x:v>
      </x:c>
    </x:row>
    <x:row r="203">
      <x:c r="A203" s="33" t="str">
        <x:v>2018180005171000</x:v>
      </x:c>
      <x:c r="B203" s="33" t="str">
        <x:v>MINARM / SGA / SPAC - Service Parisien de Soutien de l'Administration Centrale - SPAC</x:v>
      </x:c>
      <x:c r="C203" s="33" t="str">
        <x:v>FONDATION POUR LA RECHERCHE STRATEGIQUE</x:v>
      </x:c>
      <x:c r="D203" s="33" t="str">
        <x:v>Observatoire n°2018-01 intitulé : « Observatoire de la politique de défense des Etats-Unis ».</x:v>
      </x:c>
      <x:c r="E203" s="33" t="str">
        <x:v>Services de défense.</x:v>
      </x:c>
      <x:c r="F203" s="36" t="n">
        <x:v>287110</x:v>
      </x:c>
      <x:c r="G203" s="38" t="n">
        <x:v>43391</x:v>
      </x:c>
      <x:c r="H203" s="38" t="n">
        <x:v>43391</x:v>
      </x:c>
      <x:c r="I203" s="40" t="n">
        <x:v>37</x:v>
      </x:c>
      <x:c r="J203" s="33" t="str"/>
      <x:c r="K203" s="33" t="str"/>
      <x:c r="L203" s="33" t="str"/>
      <x:c r="M203" s="33" t="str">
        <x:v>(75) Paris</x:v>
      </x:c>
      <x:c r="N203" s="33" t="str">
        <x:v>Oui</x:v>
      </x:c>
      <x:c r="O203" s="33" t="str">
        <x:v>data.gouv.fr_aife</x:v>
      </x:c>
      <x:c r="P203" s="33" t="str">
        <x:v>2018180005171000</x:v>
      </x:c>
    </x:row>
    <x:row r="204">
      <x:c r="A204" s="33" t="str">
        <x:v>2018100013113400</x:v>
      </x:c>
      <x:c r="B204" s="33" t="str">
        <x:v>MINARM / SGA / SID / ESID Bordeaux - Etablissement du service d'infrastructure de la défense de Bordeaux - ESID Bordeaux</x:v>
      </x:c>
      <x:c r="C204" s="33" t="str">
        <x:v>EUROVIA MIDI-PYRENEES</x:v>
      </x:c>
      <x:c r="D204" s="33" t="str">
        <x:v>Caylus (82) - Travaux d'adaptation à la création d'un bâtiment (150 hommes)</x:v>
      </x:c>
      <x:c r="E204" s="33" t="str">
        <x:v>Travaux de construction de bâtiments destinés à l'hébergement.</x:v>
      </x:c>
      <x:c r="F204" s="36" t="n">
        <x:v>1083631</x:v>
      </x:c>
      <x:c r="G204" s="38" t="n">
        <x:v>43391</x:v>
      </x:c>
      <x:c r="H204" s="38" t="n">
        <x:v>43391</x:v>
      </x:c>
      <x:c r="I204" s="40" t="n">
        <x:v>10</x:v>
      </x:c>
      <x:c r="J204" s="33" t="str">
        <x:v>Marché</x:v>
      </x:c>
      <x:c r="K204" s="33" t="str">
        <x:v>Procédure adaptée</x:v>
      </x:c>
      <x:c r="L204" s="33" t="str">
        <x:v>Révisable</x:v>
      </x:c>
      <x:c r="M204" s="33" t="str">
        <x:v>(82) Tarn-et-Garonne</x:v>
      </x:c>
      <x:c r="N204" s="33" t="str">
        <x:v>Oui</x:v>
      </x:c>
      <x:c r="O204" s="33" t="str">
        <x:v>data.gouv.fr_aife</x:v>
      </x:c>
      <x:c r="P204" s="33" t="str">
        <x:v>2018100013113400</x:v>
      </x:c>
    </x:row>
    <x:row r="205">
      <x:c r="A205" s="33" t="str">
        <x:v>2018150903877700</x:v>
      </x:c>
      <x:c r="B205" s="33" t="str">
        <x:v>MINARM / SGA / SID / ESID BREST - Etablissement du service d'infrastructure de la défense de BREST - ESID Brest</x:v>
      </x:c>
      <x:c r="C205" s="33" t="str"/>
      <x:c r="D205" s="33" t="str">
        <x:v>BAN de Landivisiau (29) - Création d'un bâtiment pour le regroupement des régies du SID - Mission de contrôle technique</x:v>
      </x:c>
      <x:c r="E205" s="33" t="str">
        <x:v>Services de contrôle technique.</x:v>
      </x:c>
      <x:c r="F205" s="36" t="n">
        <x:v>7145</x:v>
      </x:c>
      <x:c r="G205" s="38" t="n">
        <x:v>43391</x:v>
      </x:c>
      <x:c r="H205" s="38" t="n">
        <x:v>43391</x:v>
      </x:c>
      <x:c r="I205" s="40" t="n">
        <x:v>48</x:v>
      </x:c>
      <x:c r="J205" s="33" t="str">
        <x:v>Marché</x:v>
      </x:c>
      <x:c r="K205" s="33" t="str">
        <x:v>Procédure adaptée</x:v>
      </x:c>
      <x:c r="L205" s="33" t="str">
        <x:v>Révisable</x:v>
      </x:c>
      <x:c r="M205" s="33" t="str">
        <x:v>(29) Finistère</x:v>
      </x:c>
      <x:c r="N205" s="33" t="str">
        <x:v>Oui</x:v>
      </x:c>
      <x:c r="O205" s="33" t="str">
        <x:v>data.gouv.fr_aife</x:v>
      </x:c>
      <x:c r="P205" s="33" t="str">
        <x:v>2018150903877700</x:v>
      </x:c>
    </x:row>
    <x:row r="206">
      <x:c r="A206" s="33" t="str">
        <x:v>2018100013110500</x:v>
      </x:c>
      <x:c r="B206" s="33" t="str">
        <x:v>MINARM / SSF / DSSF Toulon - Direction du service de soutien de la flotte de Toulon - DSSF Toulon</x:v>
      </x:c>
      <x:c r="C206" s="33" t="str">
        <x:v>MEGA SARL</x:v>
      </x:c>
      <x:c r="D206" s="33" t="str">
        <x:v>Accord cadre N° 2016M16T20003 relatif à la fourniture de matériels de quincaillerie et d'outillage naval. - Marché subséquent : N° K18T2000341 relatif à la fourniture de différentes élingues en polyester de diverses marques ou équivalent. -</x:v>
      </x:c>
      <x:c r="E206" s="33" t="str">
        <x:v>Quincaillerie.</x:v>
      </x:c>
      <x:c r="F206" s="36" t="n">
        <x:v>3422</x:v>
      </x:c>
      <x:c r="G206" s="38" t="n">
        <x:v>43391</x:v>
      </x:c>
      <x:c r="H206" s="38" t="n">
        <x:v>43391</x:v>
      </x:c>
      <x:c r="I206" s="40" t="n">
        <x:v>2</x:v>
      </x:c>
      <x:c r="J206" s="33" t="str">
        <x:v>Marché subséquent</x:v>
      </x:c>
      <x:c r="K206" s="33" t="str">
        <x:v>Appel d'offres ouvert</x:v>
      </x:c>
      <x:c r="L206" s="33" t="str">
        <x:v>Révisable</x:v>
      </x:c>
      <x:c r="M206" s="33" t="str">
        <x:v>(83) Var</x:v>
      </x:c>
      <x:c r="N206" s="33" t="str">
        <x:v>Oui</x:v>
      </x:c>
      <x:c r="O206" s="33" t="str">
        <x:v>data.gouv.fr_aife</x:v>
      </x:c>
      <x:c r="P206" s="33" t="str">
        <x:v>2018100013110500</x:v>
      </x:c>
    </x:row>
    <x:row r="207">
      <x:c r="A207" s="33" t="str">
        <x:v>2018100013122300</x:v>
      </x:c>
      <x:c r="B207" s="33" t="str">
        <x:v>MINARM / SGA / SID / ESID Bordeaux - Etablissement du service d'infrastructure de la défense de Bordeaux - ESID Bordeaux</x:v>
      </x:c>
      <x:c r="C207" s="33" t="str">
        <x:v>NAVARRA TERRASSEMENTS SPECIAUX</x:v>
      </x:c>
      <x:c r="D207" s="33" t="str">
        <x:v>BAYONNE (64) - Citadelle Général BERGE - 1er RPIMa - Purge bittes des stands de tir de ST 2, ST 3 , B 6 et reprise des évacuations des eaux de surface pour ST 2 et ST 3</x:v>
      </x:c>
      <x:c r="E207" s="33" t="str">
        <x:v>Nettoyage et traitement du sol.</x:v>
      </x:c>
      <x:c r="F207" s="36" t="n">
        <x:v>142400</x:v>
      </x:c>
      <x:c r="G207" s="38" t="n">
        <x:v>43392</x:v>
      </x:c>
      <x:c r="H207" s="38" t="n">
        <x:v>43392</x:v>
      </x:c>
      <x:c r="I207" s="40" t="n">
        <x:v>7</x:v>
      </x:c>
      <x:c r="J207" s="33" t="str">
        <x:v>Marché</x:v>
      </x:c>
      <x:c r="K207" s="33" t="str">
        <x:v>Procédure adaptée</x:v>
      </x:c>
      <x:c r="L207" s="33" t="str">
        <x:v>Révisable</x:v>
      </x:c>
      <x:c r="M207" s="33" t="str">
        <x:v>(64) Pyrénées-Atlantiques</x:v>
      </x:c>
      <x:c r="N207" s="33" t="str">
        <x:v>Oui</x:v>
      </x:c>
      <x:c r="O207" s="33" t="str">
        <x:v>data.gouv.fr_aife</x:v>
      </x:c>
      <x:c r="P207" s="33" t="str">
        <x:v>2018100013122300</x:v>
      </x:c>
    </x:row>
    <x:row r="208">
      <x:c r="A208" s="33" t="str">
        <x:v>2018170008973000</x:v>
      </x:c>
      <x:c r="B208" s="33" t="str">
        <x:v>MINARM / SGA / SPAC - Service Parisien de Soutien de l'Administration Centrale - SPAC</x:v>
      </x:c>
      <x:c r="C208" s="33" t="str">
        <x:v>VERITAS</x:v>
      </x:c>
      <x:c r="D208" s="33" t="str">
        <x:v>réalisation de formations à la prévention des risques amiante au profit des personnels du ministère des armées - Lot 2 Sud Ouest</x:v>
      </x:c>
      <x:c r="E208" s="33" t="str">
        <x:v>Services de formation industrielle et technique.</x:v>
      </x:c>
      <x:c r="F208" s="36" t="n">
        <x:v>26733</x:v>
      </x:c>
      <x:c r="G208" s="38" t="n">
        <x:v>43392</x:v>
      </x:c>
      <x:c r="H208" s="38" t="n">
        <x:v>43392</x:v>
      </x:c>
      <x:c r="I208" s="40" t="n">
        <x:v>48</x:v>
      </x:c>
      <x:c r="J208" s="33" t="str">
        <x:v>Accord-cadre</x:v>
      </x:c>
      <x:c r="K208" s="33" t="str">
        <x:v>Procédure adaptée</x:v>
      </x:c>
      <x:c r="L208" s="33" t="str">
        <x:v>Révisable</x:v>
      </x:c>
      <x:c r="M208" s="33" t="str">
        <x:v>(33) Gironde</x:v>
      </x:c>
      <x:c r="N208" s="33" t="str">
        <x:v>Oui</x:v>
      </x:c>
      <x:c r="O208" s="33" t="str">
        <x:v>data.gouv.fr_aife</x:v>
      </x:c>
      <x:c r="P208" s="33" t="str">
        <x:v>2018170008973000</x:v>
      </x:c>
    </x:row>
    <x:row r="209">
      <x:c r="A209" s="33" t="str">
        <x:v>2018220115221700</x:v>
      </x:c>
      <x:c r="B209" s="33" t="str">
        <x:v>MINARM / SGA / SPAC - Service Parisien de Soutien de l'Administration Centrale - SPAC</x:v>
      </x:c>
      <x:c r="C209" s="33" t="str">
        <x:v>GEO4I</x:v>
      </x:c>
      <x:c r="D209" s="33" t="str">
        <x:v>Observatoire n° 2018-34 intitulé : « Analyse et suivi des dynamiques portuaires et navales dans locéan Indien ».</x:v>
      </x:c>
      <x:c r="E209" s="33" t="str">
        <x:v>Services de défense.</x:v>
      </x:c>
      <x:c r="F209" s="36" t="n">
        <x:v>362967</x:v>
      </x:c>
      <x:c r="G209" s="38" t="n">
        <x:v>43392</x:v>
      </x:c>
      <x:c r="H209" s="38" t="n">
        <x:v>43392</x:v>
      </x:c>
      <x:c r="I209" s="40" t="n">
        <x:v>37</x:v>
      </x:c>
      <x:c r="J209" s="33" t="str"/>
      <x:c r="K209" s="33" t="str"/>
      <x:c r="L209" s="33" t="str"/>
      <x:c r="M209" s="33" t="str">
        <x:v>(75) Paris</x:v>
      </x:c>
      <x:c r="N209" s="33" t="str">
        <x:v>Oui</x:v>
      </x:c>
      <x:c r="O209" s="33" t="str">
        <x:v>data.gouv.fr_aife</x:v>
      </x:c>
      <x:c r="P209" s="33" t="str">
        <x:v>2018220115221700</x:v>
      </x:c>
    </x:row>
    <x:row r="210">
      <x:c r="A210" s="33" t="str">
        <x:v>2018150904282900</x:v>
      </x:c>
      <x:c r="B210" s="33" t="str">
        <x:v>MINARM / SSF / DSSF Brest - Direction du service de soutien de la flotte de Brest - DSSF Brest</x:v>
      </x:c>
      <x:c r="C210" s="33" t="str">
        <x:v>MECHANICAL SPARE PARTS FRANCE</x:v>
      </x:c>
      <x:c r="D210" s="33" t="str">
        <x:v>Fourniture de tubes en aluminium au profit du Commando HUBERT</x:v>
      </x:c>
      <x:c r="E210" s="33" t="str">
        <x:v>Pièces pour navires de guerre.</x:v>
      </x:c>
      <x:c r="F210" s="36" t="n">
        <x:v>195</x:v>
      </x:c>
      <x:c r="G210" s="38" t="n">
        <x:v>43392</x:v>
      </x:c>
      <x:c r="H210" s="38" t="n">
        <x:v>43392</x:v>
      </x:c>
      <x:c r="I210" s="40" t="n">
        <x:v>1</x:v>
      </x:c>
      <x:c r="J210" s="33" t="str">
        <x:v>Marché</x:v>
      </x:c>
      <x:c r="K210" s="33" t="str">
        <x:v>Procédure adaptée</x:v>
      </x:c>
      <x:c r="L210" s="33" t="str">
        <x:v>Ferme</x:v>
      </x:c>
      <x:c r="M210" s="33" t="str">
        <x:v>(29) Finistère</x:v>
      </x:c>
      <x:c r="N210" s="33" t="str">
        <x:v>Oui</x:v>
      </x:c>
      <x:c r="O210" s="33" t="str">
        <x:v>data.gouv.fr_aife</x:v>
      </x:c>
      <x:c r="P210" s="33" t="str">
        <x:v>2018150904282900</x:v>
      </x:c>
    </x:row>
    <x:row r="211">
      <x:c r="A211" s="33" t="str">
        <x:v>2018180005164000</x:v>
      </x:c>
      <x:c r="B211" s="33" t="str">
        <x:v>MINARM / SSA / DAPSA - Direction des Approvisionnements en produits de santé des armées</x:v>
      </x:c>
      <x:c r="C211" s="33" t="str">
        <x:v>IDEX ENERGIES</x:v>
      </x:c>
      <x:c r="D211" s="33" t="str">
        <x:v>Exploitation/entretien chambres froides pharmaceutiques ERSA Marolles et Marseille, CVC ERSA Marolles, maintenance préventive/curative groupes électrogènes, onduleurs, installations/équipements/alarmes incendie ERSA Marolles - Maintenance préventive et ...</x:v>
      </x:c>
      <x:c r="E211" s="33" t="str">
        <x:v>Services de réparation et d'entretien d'installations électriques de bâtiment.</x:v>
      </x:c>
      <x:c r="F211" s="36" t="n">
        <x:v>2280</x:v>
      </x:c>
      <x:c r="G211" s="38" t="n">
        <x:v>43392</x:v>
      </x:c>
      <x:c r="H211" s="38" t="n">
        <x:v>43392</x:v>
      </x:c>
      <x:c r="I211" s="40" t="n">
        <x:v>48</x:v>
      </x:c>
      <x:c r="J211" s="33" t="str"/>
      <x:c r="K211" s="33" t="str"/>
      <x:c r="L211" s="33" t="str"/>
      <x:c r="M211" s="33" t="str">
        <x:v>(45) Loiret</x:v>
      </x:c>
      <x:c r="N211" s="33" t="str">
        <x:v>Oui</x:v>
      </x:c>
      <x:c r="O211" s="33" t="str">
        <x:v>data.gouv.fr_aife</x:v>
      </x:c>
      <x:c r="P211" s="33" t="str">
        <x:v>2018180005164000</x:v>
      </x:c>
    </x:row>
    <x:row r="212">
      <x:c r="A212" s="33" t="str">
        <x:v>2018130013849300</x:v>
      </x:c>
      <x:c r="B212" s="33" t="str">
        <x:v>MINARM / DGA / DO / S2A / PROD - S2A</x:v>
      </x:c>
      <x:c r="C212" s="33" t="str">
        <x:v>STARBURST ACCELERATOR</x:v>
      </x:c>
      <x:c r="D212" s="33" t="str">
        <x:v>Défense Lab_2</x:v>
      </x:c>
      <x:c r="E212" s="33" t="str">
        <x:v>Services de conseil en recherche et développement.</x:v>
      </x:c>
      <x:c r="F212" s="36" t="n">
        <x:v>2708631</x:v>
      </x:c>
      <x:c r="G212" s="38" t="n">
        <x:v>43392</x:v>
      </x:c>
      <x:c r="H212" s="38" t="n">
        <x:v>43392</x:v>
      </x:c>
      <x:c r="I212" s="40" t="n">
        <x:v>36</x:v>
      </x:c>
      <x:c r="J212" s="33" t="str"/>
      <x:c r="K212" s="33" t="str"/>
      <x:c r="L212" s="33" t="str"/>
      <x:c r="M212" s="33" t="str">
        <x:v>(75) Paris</x:v>
      </x:c>
      <x:c r="N212" s="33" t="str">
        <x:v>Oui</x:v>
      </x:c>
      <x:c r="O212" s="33" t="str">
        <x:v>data.gouv.fr_aife</x:v>
      </x:c>
      <x:c r="P212" s="33" t="str">
        <x:v>2018130013849300</x:v>
      </x:c>
    </x:row>
    <x:row r="213">
      <x:c r="A213" s="33" t="str">
        <x:v>2018100013102200</x:v>
      </x:c>
      <x:c r="B213" s="33" t="str">
        <x:v>MINARM / SSF / DSSF Toulon - Direction du service de soutien de la flotte de Toulon - DSSF Toulon</x:v>
      </x:c>
      <x:c r="C213" s="33" t="str">
        <x:v>SARL EUROFOURNISUD</x:v>
      </x:c>
      <x:c r="D213" s="33" t="str">
        <x:v>Accord cadre N° 2016 M 16 T 20 010 relatif à l’approvisionnement de matériels électriques et électroniques pour le maintien en condition opérationnelle (MCO) des Eléments de Force Maritime (EFM) et des Eléments de Force Armées (EFA). - Marché subséquent...</x:v>
      </x:c>
      <x:c r="E213" s="33" t="str">
        <x:v>Pièces électroniques et électriques de rechange pour navires de guerre.</x:v>
      </x:c>
      <x:c r="F213" s="36" t="n">
        <x:v>55831</x:v>
      </x:c>
      <x:c r="G213" s="38" t="n">
        <x:v>43392</x:v>
      </x:c>
      <x:c r="H213" s="38" t="n">
        <x:v>43392</x:v>
      </x:c>
      <x:c r="I213" s="40" t="n">
        <x:v>6</x:v>
      </x:c>
      <x:c r="J213" s="33" t="str"/>
      <x:c r="K213" s="33" t="str"/>
      <x:c r="L213" s="33" t="str"/>
      <x:c r="M213" s="33" t="str">
        <x:v>(08) Ardennes</x:v>
      </x:c>
      <x:c r="N213" s="33" t="str">
        <x:v>Oui</x:v>
      </x:c>
      <x:c r="O213" s="33" t="str">
        <x:v>data.gouv.fr_aife</x:v>
      </x:c>
      <x:c r="P213" s="33" t="str">
        <x:v>2018100013102200</x:v>
      </x:c>
    </x:row>
    <x:row r="214">
      <x:c r="A214" s="33" t="str">
        <x:v>2018180005165000</x:v>
      </x:c>
      <x:c r="B214" s="33" t="str">
        <x:v>MINARM / SSA / DAPSA - Direction des Approvisionnements en produits de santé des armées</x:v>
      </x:c>
      <x:c r="C214" s="33" t="str">
        <x:v>NORD PICARDIE MAINTENANCE SERVICE</x:v>
      </x:c>
      <x:c r="D214" s="33" t="str">
        <x:v>Exploitation/entretien chambres froides pharmaceutiques ERSA Marolles et Marseille, CVC ERSA Marolles, maintenance préventive/curative groupes électrogènes, onduleurs, installations/équipements/alarmes incendie ERSA Marolles - Maintenance préventive et ...</x:v>
      </x:c>
      <x:c r="E214" s="33" t="str">
        <x:v>Services de réparation et d'entretien d'installations de bâtiments.</x:v>
      </x:c>
      <x:c r="F214" s="36" t="n">
        <x:v>10632</x:v>
      </x:c>
      <x:c r="G214" s="38" t="n">
        <x:v>43392</x:v>
      </x:c>
      <x:c r="H214" s="38" t="n">
        <x:v>43392</x:v>
      </x:c>
      <x:c r="I214" s="40" t="n">
        <x:v>48</x:v>
      </x:c>
      <x:c r="J214" s="33" t="str"/>
      <x:c r="K214" s="33" t="str"/>
      <x:c r="L214" s="33" t="str"/>
      <x:c r="M214" s="33" t="str">
        <x:v>(45) Loiret</x:v>
      </x:c>
      <x:c r="N214" s="33" t="str">
        <x:v>Oui</x:v>
      </x:c>
      <x:c r="O214" s="33" t="str">
        <x:v>data.gouv.fr_aife</x:v>
      </x:c>
      <x:c r="P214" s="33" t="str">
        <x:v>2018180005165000</x:v>
      </x:c>
    </x:row>
    <x:row r="215">
      <x:c r="A215" s="33" t="str">
        <x:v>20182018S0011100</x:v>
      </x:c>
      <x:c r="B215" s="33" t="str">
        <x:v>MINARM / ESTM / EPA / ISAE - Institut supérieur de l'aéronautique et de l'espace (ISAE)</x:v>
      </x:c>
      <x:c r="C215" s="33" t="str">
        <x:v>SAPIENSAPIENS</x:v>
      </x:c>
      <x:c r="D215" s="33" t="str">
        <x:v>Prestations de réalisations et de productions audiovisuelles promotionnelles et institutionnelles au profit de l'ISAE-SUPAERO</x:v>
      </x:c>
      <x:c r="E215" s="33" t="str">
        <x:v>Production de films et de vidéos publicitaires, de propagande et d'information.</x:v>
      </x:c>
      <x:c r="F215" s="36" t="n">
        <x:v>200000</x:v>
      </x:c>
      <x:c r="G215" s="38" t="n">
        <x:v>43392</x:v>
      </x:c>
      <x:c r="H215" s="38" t="n">
        <x:v>43392</x:v>
      </x:c>
      <x:c r="I215" s="40" t="n">
        <x:v>48</x:v>
      </x:c>
      <x:c r="J215" s="33" t="str">
        <x:v>Accord-cadre</x:v>
      </x:c>
      <x:c r="K215" s="33" t="str">
        <x:v>Appel d'offres ouvert</x:v>
      </x:c>
      <x:c r="L215" s="33" t="str">
        <x:v>Révisable</x:v>
      </x:c>
      <x:c r="M215" s="33" t="str">
        <x:v>(31) Haute-Garonne</x:v>
      </x:c>
      <x:c r="N215" s="33" t="str">
        <x:v>Oui</x:v>
      </x:c>
      <x:c r="O215" s="33" t="str">
        <x:v>data.gouv.fr_aife</x:v>
      </x:c>
      <x:c r="P215" s="33" t="str">
        <x:v>20182018S0011100</x:v>
      </x:c>
    </x:row>
    <x:row r="216">
      <x:c r="A216" s="33" t="str">
        <x:v>2018170008971100</x:v>
      </x:c>
      <x:c r="B216" s="33" t="str">
        <x:v>MINARM / SGA / SPAC - Service Parisien de Soutien de l'Administration Centrale - SPAC</x:v>
      </x:c>
      <x:c r="C216" s="33" t="str">
        <x:v>VERITAS</x:v>
      </x:c>
      <x:c r="D216" s="33" t="str">
        <x:v>réalisation de formations à la prévention des risques amiante au profit des personnels du ministère des armées - Lot 3 Sud Est</x:v>
      </x:c>
      <x:c r="E216" s="33" t="str">
        <x:v>Services de formation industrielle et technique.</x:v>
      </x:c>
      <x:c r="F216" s="36" t="n">
        <x:v>18711</x:v>
      </x:c>
      <x:c r="G216" s="38" t="n">
        <x:v>43392</x:v>
      </x:c>
      <x:c r="H216" s="38" t="n">
        <x:v>43392</x:v>
      </x:c>
      <x:c r="I216" s="40" t="n">
        <x:v>48</x:v>
      </x:c>
      <x:c r="J216" s="33" t="str">
        <x:v>Accord-cadre</x:v>
      </x:c>
      <x:c r="K216" s="33" t="str">
        <x:v>Procédure adaptée</x:v>
      </x:c>
      <x:c r="L216" s="33" t="str">
        <x:v>Révisable</x:v>
      </x:c>
      <x:c r="M216" s="33" t="str">
        <x:v>(30) Gard</x:v>
      </x:c>
      <x:c r="N216" s="33" t="str">
        <x:v>Oui</x:v>
      </x:c>
      <x:c r="O216" s="33" t="str">
        <x:v>data.gouv.fr_aife</x:v>
      </x:c>
      <x:c r="P216" s="33" t="str">
        <x:v>2018170008971100</x:v>
      </x:c>
    </x:row>
    <x:row r="217">
      <x:c r="A217" s="33" t="str">
        <x:v>2018170008972000</x:v>
      </x:c>
      <x:c r="B217" s="33" t="str">
        <x:v>MINARM / SGA / SPAC - Service Parisien de Soutien de l'Administration Centrale - SPAC</x:v>
      </x:c>
      <x:c r="C217" s="33" t="str">
        <x:v>VERITAS</x:v>
      </x:c>
      <x:c r="D217" s="33" t="str">
        <x:v>Réalisation de formations à la prévention des risques amiante au profit des personnels du ministère des armées - Lot 1 Ile de France Centre Val de Loire et Normandie</x:v>
      </x:c>
      <x:c r="E217" s="33" t="str">
        <x:v>Services de formation industrielle et technique.</x:v>
      </x:c>
      <x:c r="F217" s="36" t="n">
        <x:v>60960</x:v>
      </x:c>
      <x:c r="G217" s="38" t="n">
        <x:v>43392</x:v>
      </x:c>
      <x:c r="H217" s="38" t="n">
        <x:v>43392</x:v>
      </x:c>
      <x:c r="I217" s="40" t="n">
        <x:v>48</x:v>
      </x:c>
      <x:c r="J217" s="33" t="str">
        <x:v>Accord-cadre</x:v>
      </x:c>
      <x:c r="K217" s="33" t="str">
        <x:v>Procédure adaptée</x:v>
      </x:c>
      <x:c r="L217" s="33" t="str">
        <x:v>Révisable</x:v>
      </x:c>
      <x:c r="M217" s="33" t="str">
        <x:v>(91) Essonne</x:v>
      </x:c>
      <x:c r="N217" s="33" t="str">
        <x:v>Oui</x:v>
      </x:c>
      <x:c r="O217" s="33" t="str">
        <x:v>data.gouv.fr_aife</x:v>
      </x:c>
      <x:c r="P217" s="33" t="str">
        <x:v>2018170008972000</x:v>
      </x:c>
    </x:row>
    <x:row r="218">
      <x:c r="A218" s="33" t="str">
        <x:v>2018150903141400</x:v>
      </x:c>
      <x:c r="B218" s="33" t="str">
        <x:v>MINARM / SSF / DSSF Brest - Direction du service de soutien de la flotte de Brest - DSSF Brest</x:v>
      </x:c>
      <x:c r="C218" s="33" t="str">
        <x:v>LOGNAV-CM</x:v>
      </x:c>
      <x:c r="D218" s="33" t="str">
        <x:v>Approvisionnement de rechanges mécaniques de marques diverses ou équivalents au profit de bâtiments de la marine nationale.</x:v>
      </x:c>
      <x:c r="E218" s="33" t="str">
        <x:v>Pièces de rechange pour coque et pièces mécaniques pour navires de guerre.</x:v>
      </x:c>
      <x:c r="F218" s="36" t="n">
        <x:v>8373</x:v>
      </x:c>
      <x:c r="G218" s="38" t="n">
        <x:v>43392</x:v>
      </x:c>
      <x:c r="H218" s="38" t="n">
        <x:v>43392</x:v>
      </x:c>
      <x:c r="I218" s="40" t="n">
        <x:v>4</x:v>
      </x:c>
      <x:c r="J218" s="33" t="str"/>
      <x:c r="K218" s="33" t="str"/>
      <x:c r="L218" s="33" t="str"/>
      <x:c r="M218" s="33" t="str">
        <x:v>(29) Finistère</x:v>
      </x:c>
      <x:c r="N218" s="33" t="str">
        <x:v>Oui</x:v>
      </x:c>
      <x:c r="O218" s="33" t="str">
        <x:v>data.gouv.fr_aife</x:v>
      </x:c>
      <x:c r="P218" s="33" t="str">
        <x:v>2018150903141400</x:v>
      </x:c>
    </x:row>
    <x:row r="219">
      <x:c r="A219" s="33" t="str">
        <x:v>2018180005158300</x:v>
      </x:c>
      <x:c r="B219" s="33" t="str">
        <x:v>MINARM / SSA / DAPSA - Direction des Approvisionnements en produits de santé des armées</x:v>
      </x:c>
      <x:c r="C219" s="33" t="str">
        <x:v>AXIMA REFRIGERATION FRANCE</x:v>
      </x:c>
      <x:c r="D219" s="33" t="str">
        <x:v>Exploitation/entretien chambres froides pharmaceutiques ERSA Marolles et Marseille, CVC ERSA Marolles, maintenance préventive/curative groupes électrogènes, onduleurs, installations/équipements/alarmes incendie ERSA Marolles - Exploitation et entretien ...</x:v>
      </x:c>
      <x:c r="E219" s="33" t="str">
        <x:v>Services de réparation et d'entretien de groupes de réfrigération.</x:v>
      </x:c>
      <x:c r="F219" s="36" t="n">
        <x:v>13693</x:v>
      </x:c>
      <x:c r="G219" s="38" t="n">
        <x:v>43392</x:v>
      </x:c>
      <x:c r="H219" s="38" t="n">
        <x:v>43392</x:v>
      </x:c>
      <x:c r="I219" s="40" t="n">
        <x:v>48</x:v>
      </x:c>
      <x:c r="J219" s="33" t="str"/>
      <x:c r="K219" s="33" t="str"/>
      <x:c r="L219" s="33" t="str"/>
      <x:c r="M219" s="33" t="str">
        <x:v>(45) Loiret</x:v>
      </x:c>
      <x:c r="N219" s="33" t="str">
        <x:v>Oui</x:v>
      </x:c>
      <x:c r="O219" s="33" t="str">
        <x:v>data.gouv.fr_aife</x:v>
      </x:c>
      <x:c r="P219" s="33" t="str">
        <x:v>2018180005158300</x:v>
      </x:c>
    </x:row>
    <x:row r="220">
      <x:c r="A220" s="33" t="str">
        <x:v>2018180005159100</x:v>
      </x:c>
      <x:c r="B220" s="33" t="str">
        <x:v>MINARM / SSA / DAPSA - Direction des Approvisionnements en produits de santé des armées</x:v>
      </x:c>
      <x:c r="C220" s="33" t="str">
        <x:v>NORD PICARDIE MAINTENANCE SERVICE</x:v>
      </x:c>
      <x:c r="D220" s="33" t="str">
        <x:v>Exploitation/entretien chambres froides pharmaceutiques ERSA Marolles et Marseille, CVC ERSA Marolles, maintenance préventive/curative groupes électrogènes, onduleurs, installations/équipements/alarmes incendie ERSA Marolles - Exploitation et entretien ...</x:v>
      </x:c>
      <x:c r="E220" s="33" t="str">
        <x:v>Mise en état d'exploitation d'installations de chauffage.</x:v>
      </x:c>
      <x:c r="F220" s="36" t="n">
        <x:v>15819</x:v>
      </x:c>
      <x:c r="G220" s="38" t="n">
        <x:v>43392</x:v>
      </x:c>
      <x:c r="H220" s="38" t="n">
        <x:v>43392</x:v>
      </x:c>
      <x:c r="I220" s="40" t="n">
        <x:v>48</x:v>
      </x:c>
      <x:c r="J220" s="33" t="str"/>
      <x:c r="K220" s="33" t="str"/>
      <x:c r="L220" s="33" t="str"/>
      <x:c r="M220" s="33" t="str">
        <x:v>(45) Loiret</x:v>
      </x:c>
      <x:c r="N220" s="33" t="str">
        <x:v>Oui</x:v>
      </x:c>
      <x:c r="O220" s="33" t="str">
        <x:v>data.gouv.fr_aife</x:v>
      </x:c>
      <x:c r="P220" s="33" t="str">
        <x:v>2018180005159100</x:v>
      </x:c>
    </x:row>
    <x:row r="221">
      <x:c r="A221" s="33" t="str">
        <x:v>20182018T0004100</x:v>
      </x:c>
      <x:c r="B221" s="33" t="str">
        <x:v>MINARM / ESTM / EPA / SHOM - Service hydrographique et océanographique de la Marine</x:v>
      </x:c>
      <x:c r="C221" s="33" t="str">
        <x:v>HOROQUARTZ</x:v>
      </x:c>
      <x:c r="D221" s="33" t="str">
        <x:v>Travaux de rénovation d'un système de gestion des accès.</x:v>
      </x:c>
      <x:c r="E221" s="33" t="str">
        <x:v>Système de contrôle des accès.</x:v>
      </x:c>
      <x:c r="F221" s="36" t="n">
        <x:v>132040</x:v>
      </x:c>
      <x:c r="G221" s="38" t="n">
        <x:v>43392</x:v>
      </x:c>
      <x:c r="H221" s="38" t="n">
        <x:v>43392</x:v>
      </x:c>
      <x:c r="I221" s="40" t="n">
        <x:v>68</x:v>
      </x:c>
      <x:c r="J221" s="33" t="str">
        <x:v>Marché</x:v>
      </x:c>
      <x:c r="K221" s="33" t="str">
        <x:v>Procédure adaptée</x:v>
      </x:c>
      <x:c r="L221" s="33" t="str">
        <x:v>Révisable</x:v>
      </x:c>
      <x:c r="M221" s="33" t="str">
        <x:v>(29) Finistère</x:v>
      </x:c>
      <x:c r="N221" s="33" t="str">
        <x:v>Oui</x:v>
      </x:c>
      <x:c r="O221" s="33" t="str">
        <x:v>data.gouv.fr_aife</x:v>
      </x:c>
      <x:c r="P221" s="33" t="str">
        <x:v>20182018T0004100</x:v>
      </x:c>
    </x:row>
    <x:row r="222">
      <x:c r="A222" s="33" t="str">
        <x:v>2018150903892300</x:v>
      </x:c>
      <x:c r="B222" s="33" t="str">
        <x:v>MINARM / SSF / DSSF Brest - Direction du service de soutien de la flotte de Brest - DSSF Brest</x:v>
      </x:c>
      <x:c r="C222" s="33" t="str">
        <x:v>BERRA MARINE SERVICE</x:v>
      </x:c>
      <x:c r="D222" s="33" t="str">
        <x:v>Approvisionnement d'accessoires de levage et gréements de marques diverses ou équivalent au profit de bâtiments de la marine nationale.</x:v>
      </x:c>
      <x:c r="E222" s="33" t="str">
        <x:v>Pièces de rechange pour coque et pièces mécaniques pour navires de guerre.</x:v>
      </x:c>
      <x:c r="F222" s="36" t="n">
        <x:v>60886</x:v>
      </x:c>
      <x:c r="G222" s="38" t="n">
        <x:v>43392</x:v>
      </x:c>
      <x:c r="H222" s="38" t="n">
        <x:v>43392</x:v>
      </x:c>
      <x:c r="I222" s="40" t="n">
        <x:v>11</x:v>
      </x:c>
      <x:c r="J222" s="33" t="str">
        <x:v>Marché</x:v>
      </x:c>
      <x:c r="K222" s="33" t="str">
        <x:v>Procédure adaptée</x:v>
      </x:c>
      <x:c r="L222" s="33" t="str">
        <x:v>Ferme</x:v>
      </x:c>
      <x:c r="M222" s="33" t="str">
        <x:v>(29) Finistère</x:v>
      </x:c>
      <x:c r="N222" s="33" t="str">
        <x:v>Oui</x:v>
      </x:c>
      <x:c r="O222" s="33" t="str">
        <x:v>data.gouv.fr_aife</x:v>
      </x:c>
      <x:c r="P222" s="33" t="str">
        <x:v>2018150903892300</x:v>
      </x:c>
    </x:row>
    <x:row r="223">
      <x:c r="A223" s="33" t="str">
        <x:v>2018130013875100</x:v>
      </x:c>
      <x:c r="B223" s="33" t="str">
        <x:v>MINARM / SGA / SID / ESID Bordeaux - Etablissement du service d'infrastructure de la défense de Bordeaux - ESID Bordeaux</x:v>
      </x:c>
      <x:c r="C223" s="33" t="str">
        <x:v>SPELEM</x:v>
      </x:c>
      <x:c r="D223" s="33" t="str">
        <x:v>Accord cadre à bons de commande - Base de défense de Pau - maintenance préventive et curative des groupes électrogènes, onduleurs et baies énergies - PHASE OFFRES</x:v>
      </x:c>
      <x:c r="E223" s="33" t="str">
        <x:v>Services de réparation et d'entretien de machines et d'appareils électriques et de matériel connexe.</x:v>
      </x:c>
      <x:c r="F223" s="36" t="n">
        <x:v>583333</x:v>
      </x:c>
      <x:c r="G223" s="38" t="n">
        <x:v>43392</x:v>
      </x:c>
      <x:c r="H223" s="38" t="n">
        <x:v>43392</x:v>
      </x:c>
      <x:c r="I223" s="40" t="n">
        <x:v>48</x:v>
      </x:c>
      <x:c r="J223" s="33" t="str">
        <x:v>Accord-cadre</x:v>
      </x:c>
      <x:c r="K223" s="33" t="str">
        <x:v>Appel d'offres restreint</x:v>
      </x:c>
      <x:c r="L223" s="33" t="str">
        <x:v>Révisable</x:v>
      </x:c>
      <x:c r="M223" s="33" t="str">
        <x:v>(65) Hautes-Pyrénées</x:v>
      </x:c>
      <x:c r="N223" s="33" t="str">
        <x:v>Oui</x:v>
      </x:c>
      <x:c r="O223" s="33" t="str">
        <x:v>data.gouv.fr_aife</x:v>
      </x:c>
      <x:c r="P223" s="33" t="str">
        <x:v>2018130013875100</x:v>
      </x:c>
    </x:row>
    <x:row r="224">
      <x:c r="A224" s="33" t="str">
        <x:v>2018150894588700</x:v>
      </x:c>
      <x:c r="B224" s="33" t="str">
        <x:v>MINARM / SGA / SID / ESID Metz - Etablissement du service d'infrastructure de la défense de Metz - ESID Metz</x:v>
      </x:c>
      <x:c r="C224" s="33" t="str">
        <x:v>SIELEC</x:v>
      </x:c>
      <x:c r="D224" s="33" t="str">
        <x:v>HAUTE-SAONE (70) ST-SAUVEUR-Base aérienne 116 Travaux de pose de fibre optique et modernisation du réseau anti-intrusion, migration du système boucle n° 2 phase n° 3</x:v>
      </x:c>
      <x:c r="E224" s="33" t="str">
        <x:v>Modernisation d'installations.</x:v>
      </x:c>
      <x:c r="F224" s="36" t="n">
        <x:v>210000</x:v>
      </x:c>
      <x:c r="G224" s="38" t="n">
        <x:v>43392</x:v>
      </x:c>
      <x:c r="H224" s="38" t="n">
        <x:v>43392</x:v>
      </x:c>
      <x:c r="I224" s="40" t="n">
        <x:v>3</x:v>
      </x:c>
      <x:c r="J224" s="33" t="str"/>
      <x:c r="K224" s="33" t="str"/>
      <x:c r="L224" s="33" t="str"/>
      <x:c r="M224" s="33" t="str">
        <x:v>(57) Moselle</x:v>
      </x:c>
      <x:c r="N224" s="33" t="str">
        <x:v>Oui</x:v>
      </x:c>
      <x:c r="O224" s="33" t="str">
        <x:v>data.gouv.fr_aife</x:v>
      </x:c>
      <x:c r="P224" s="33" t="str">
        <x:v>2018150894588700</x:v>
      </x:c>
    </x:row>
    <x:row r="225">
      <x:c r="A225" s="33" t="str">
        <x:v>2018150904271000</x:v>
      </x:c>
      <x:c r="B225" s="33" t="str">
        <x:v>MINARM / SSF / DSSF Brest - Direction du service de soutien de la flotte de Brest - DSSF Brest</x:v>
      </x:c>
      <x:c r="C225" s="33" t="str">
        <x:v>SARL ISOLANTS DE L'EST</x:v>
      </x:c>
      <x:c r="D225" s="33" t="str">
        <x:v>Fourniture de 2 fûts de résine époxy Ultimeg 2002L de marque AEV LTD pour la base navale de NOUMEA</x:v>
      </x:c>
      <x:c r="E225" s="33" t="str">
        <x:v>Pièces pour navires de guerre.</x:v>
      </x:c>
      <x:c r="F225" s="36" t="n">
        <x:v>6877</x:v>
      </x:c>
      <x:c r="G225" s="38" t="n">
        <x:v>43392</x:v>
      </x:c>
      <x:c r="H225" s="38" t="n">
        <x:v>43392</x:v>
      </x:c>
      <x:c r="I225" s="40" t="n">
        <x:v>2</x:v>
      </x:c>
      <x:c r="J225" s="33" t="str">
        <x:v>Marché</x:v>
      </x:c>
      <x:c r="K225" s="33" t="str">
        <x:v>Procédure adaptée</x:v>
      </x:c>
      <x:c r="L225" s="33" t="str">
        <x:v>Ferme</x:v>
      </x:c>
      <x:c r="M225" s="33" t="str">
        <x:v>(29) Finistère</x:v>
      </x:c>
      <x:c r="N225" s="33" t="str">
        <x:v>Oui</x:v>
      </x:c>
      <x:c r="O225" s="33" t="str">
        <x:v>data.gouv.fr_aife</x:v>
      </x:c>
      <x:c r="P225" s="33" t="str">
        <x:v>2018150904271000</x:v>
      </x:c>
    </x:row>
    <x:row r="226">
      <x:c r="A226" s="33" t="str">
        <x:v>2018150905410300</x:v>
      </x:c>
      <x:c r="B226" s="33" t="str">
        <x:v>MINARM / SSF / DSSF Brest - Direction du service de soutien de la flotte de Brest - DSSF Brest</x:v>
      </x:c>
      <x:c r="C226" s="33" t="str">
        <x:v>COMPTOIR GENERAL DES METAUX</x:v>
      </x:c>
      <x:c r="D226" s="33" t="str">
        <x:v>Approvisionnement de matières industrielles au profit de l'AMS CHERBOURG</x:v>
      </x:c>
      <x:c r="E226" s="33" t="str">
        <x:v>Pièces pour navires de guerre.</x:v>
      </x:c>
      <x:c r="F226" s="36" t="n">
        <x:v>1918</x:v>
      </x:c>
      <x:c r="G226" s="38" t="n">
        <x:v>43392</x:v>
      </x:c>
      <x:c r="H226" s="38" t="n">
        <x:v>43392</x:v>
      </x:c>
      <x:c r="I226" s="40" t="n">
        <x:v>1</x:v>
      </x:c>
      <x:c r="J226" s="33" t="str">
        <x:v>Marché</x:v>
      </x:c>
      <x:c r="K226" s="33" t="str">
        <x:v>Procédure adaptée</x:v>
      </x:c>
      <x:c r="L226" s="33" t="str">
        <x:v>Ferme</x:v>
      </x:c>
      <x:c r="M226" s="33" t="str">
        <x:v>(29) Finistère</x:v>
      </x:c>
      <x:c r="N226" s="33" t="str">
        <x:v>Oui</x:v>
      </x:c>
      <x:c r="O226" s="33" t="str">
        <x:v>data.gouv.fr_aife</x:v>
      </x:c>
      <x:c r="P226" s="33" t="str">
        <x:v>2018150905410300</x:v>
      </x:c>
    </x:row>
    <x:row r="227">
      <x:c r="A227" s="33" t="str">
        <x:v>2018100013107600</x:v>
      </x:c>
      <x:c r="B227" s="33" t="str">
        <x:v>MINARM / SSF / DSSF Toulon - Direction du service de soutien de la flotte de Toulon - DSSF Toulon</x:v>
      </x:c>
      <x:c r="C227" s="33" t="str">
        <x:v>LOGNAV-CM</x:v>
      </x:c>
      <x:c r="D227" s="33" t="str">
        <x:v>Accord cadre N° 2016 M 16 T 20 010 relatif à l’approvisionnement de matériels électriques et électroniques pour le maintien en condition opérationnelle (MCO) des Eléments de Force Maritime (EFM) et des Eléments de Force Armées (EFA). -</x:v>
      </x:c>
      <x:c r="E227" s="33" t="str">
        <x:v>Pièces électroniques et électriques de rechange pour navires de guerre.</x:v>
      </x:c>
      <x:c r="F227" s="36" t="n">
        <x:v>2796</x:v>
      </x:c>
      <x:c r="G227" s="38" t="n">
        <x:v>43392</x:v>
      </x:c>
      <x:c r="H227" s="38" t="n">
        <x:v>43392</x:v>
      </x:c>
      <x:c r="I227" s="40" t="n">
        <x:v>3</x:v>
      </x:c>
      <x:c r="J227" s="33" t="str">
        <x:v>Marché subséquent</x:v>
      </x:c>
      <x:c r="K227" s="33" t="str">
        <x:v>Appel d'offres ouvert</x:v>
      </x:c>
      <x:c r="L227" s="33" t="str">
        <x:v>Révisable</x:v>
      </x:c>
      <x:c r="M227" s="33" t="str">
        <x:v>(83) Var</x:v>
      </x:c>
      <x:c r="N227" s="33" t="str">
        <x:v>Oui</x:v>
      </x:c>
      <x:c r="O227" s="33" t="str">
        <x:v>data.gouv.fr_aife</x:v>
      </x:c>
      <x:c r="P227" s="33" t="str">
        <x:v>2018100013107600</x:v>
      </x:c>
    </x:row>
    <x:row r="228">
      <x:c r="A228" s="33" t="str">
        <x:v>2018150904687900</x:v>
      </x:c>
      <x:c r="B228" s="33" t="str">
        <x:v>MINARM / SGA / SID / ESID BREST - Etablissement du service d'infrastructure de la défense de BREST - ESID Brest</x:v>
      </x:c>
      <x:c r="C228" s="33" t="str">
        <x:v>CITELUM</x:v>
      </x:c>
      <x:c r="D228" s="33" t="str">
        <x:v>BAN Lann-Bihoué - Zones de Kerlaen/Poullo - Chemin piétonnier J10 - Travaux d'éclairage public</x:v>
      </x:c>
      <x:c r="E228" s="33" t="str">
        <x:v>Installation de matériel d'éclairage public.</x:v>
      </x:c>
      <x:c r="F228" s="36" t="n">
        <x:v>20529</x:v>
      </x:c>
      <x:c r="G228" s="38" t="n">
        <x:v>43395</x:v>
      </x:c>
      <x:c r="H228" s="38" t="n">
        <x:v>43395</x:v>
      </x:c>
      <x:c r="I228" s="40" t="n">
        <x:v>3</x:v>
      </x:c>
      <x:c r="J228" s="33" t="str">
        <x:v>Marché</x:v>
      </x:c>
      <x:c r="K228" s="33" t="str">
        <x:v>Procédure adaptée</x:v>
      </x:c>
      <x:c r="L228" s="33" t="str">
        <x:v>Ferme et actualisable</x:v>
      </x:c>
      <x:c r="M228" s="33" t="str">
        <x:v>(56) Morbihan</x:v>
      </x:c>
      <x:c r="N228" s="33" t="str">
        <x:v>Oui</x:v>
      </x:c>
      <x:c r="O228" s="33" t="str">
        <x:v>data.gouv.fr_aife</x:v>
      </x:c>
      <x:c r="P228" s="33" t="str">
        <x:v>2018150904687900</x:v>
      </x:c>
    </x:row>
    <x:row r="229">
      <x:c r="A229" s="33" t="str">
        <x:v>2018170008788600</x:v>
      </x:c>
      <x:c r="B229" s="33" t="str">
        <x:v>MINARM / SCA / PFC Ouest - Plate-forme commissariat Ouest (Rennes)</x:v>
      </x:c>
      <x:c r="C229" s="33" t="str">
        <x:v>INSTITUT NATIONAL POLYTECHNIQUE DE TOULOUSE</x:v>
      </x:c>
      <x:c r="D229" s="33" t="str">
        <x:v>LADHESION A LA BANQUE DEPREUVES DES CONCOURS COMMUNS POLYTECHNIQUES AU PROFIT DE LA DRH-AA</x:v>
      </x:c>
      <x:c r="E229" s="33" t="str">
        <x:v>Services de formation spécialisée.</x:v>
      </x:c>
      <x:c r="F229" s="36" t="n">
        <x:v>106000</x:v>
      </x:c>
      <x:c r="G229" s="38" t="n">
        <x:v>43395</x:v>
      </x:c>
      <x:c r="H229" s="38" t="n">
        <x:v>43395</x:v>
      </x:c>
      <x:c r="I229" s="40" t="n">
        <x:v>30</x:v>
      </x:c>
      <x:c r="J229" s="33" t="str"/>
      <x:c r="K229" s="33" t="str"/>
      <x:c r="L229" s="33" t="str"/>
      <x:c r="M229" s="33" t="str">
        <x:v>(35) Ille-et-Vilaine</x:v>
      </x:c>
      <x:c r="N229" s="33" t="str">
        <x:v>Oui</x:v>
      </x:c>
      <x:c r="O229" s="33" t="str">
        <x:v>data.gouv.fr_aife</x:v>
      </x:c>
      <x:c r="P229" s="33" t="str">
        <x:v>2018170008788600</x:v>
      </x:c>
    </x:row>
    <x:row r="230">
      <x:c r="A230" s="33" t="str">
        <x:v>2018150905410200</x:v>
      </x:c>
      <x:c r="B230" s="33" t="str">
        <x:v>MINARM / SSF / DSSF Brest - Direction du service de soutien de la flotte de Brest - DSSF Brest</x:v>
      </x:c>
      <x:c r="C230" s="33" t="str">
        <x:v>TRIPARTITE</x:v>
      </x:c>
      <x:c r="D230" s="33" t="str">
        <x:v>Approvisionnement de proportionneurs et de prises de courant de marques diverses ou équivalents au profit des bâtiments de la Marine Nationale</x:v>
      </x:c>
      <x:c r="E230" s="33" t="str">
        <x:v>Pièces pour navires de guerre.</x:v>
      </x:c>
      <x:c r="F230" s="36" t="n">
        <x:v>2235</x:v>
      </x:c>
      <x:c r="G230" s="38" t="n">
        <x:v>43395</x:v>
      </x:c>
      <x:c r="H230" s="38" t="n">
        <x:v>43395</x:v>
      </x:c>
      <x:c r="I230" s="40" t="n">
        <x:v>2</x:v>
      </x:c>
      <x:c r="J230" s="33" t="str">
        <x:v>Marché</x:v>
      </x:c>
      <x:c r="K230" s="33" t="str">
        <x:v>Procédure adaptée</x:v>
      </x:c>
      <x:c r="L230" s="33" t="str">
        <x:v>Ferme</x:v>
      </x:c>
      <x:c r="M230" s="33" t="str">
        <x:v>(29) Finistère</x:v>
      </x:c>
      <x:c r="N230" s="33" t="str">
        <x:v>Oui</x:v>
      </x:c>
      <x:c r="O230" s="33" t="str">
        <x:v>data.gouv.fr_aife</x:v>
      </x:c>
      <x:c r="P230" s="33" t="str">
        <x:v>2018150905410200</x:v>
      </x:c>
    </x:row>
    <x:row r="231">
      <x:c r="A231" s="33" t="str">
        <x:v>2018100013098500</x:v>
      </x:c>
      <x:c r="B231" s="33" t="str">
        <x:v>MINARM / DGA / DO / S2A / PROD - S2A</x:v>
      </x:c>
      <x:c r="C231" s="33" t="str">
        <x:v>ERNST &amp; YOUNG ET ASSOCIES</x:v>
      </x:c>
      <x:c r="D231" s="33" t="str">
        <x:v>Assistance pour la clôture des comptes du ministère des armées pour l'année 2018 (MS n°4 au lot 5 de l'AC 2017-4-2)</x:v>
      </x:c>
      <x:c r="E231" s="33" t="str">
        <x:v>Services comptables.</x:v>
      </x:c>
      <x:c r="F231" s="36" t="n">
        <x:v>81800</x:v>
      </x:c>
      <x:c r="G231" s="38" t="n">
        <x:v>43395</x:v>
      </x:c>
      <x:c r="H231" s="38" t="n">
        <x:v>43395</x:v>
      </x:c>
      <x:c r="I231" s="40" t="n">
        <x:v>4</x:v>
      </x:c>
      <x:c r="J231" s="33" t="str"/>
      <x:c r="K231" s="33" t="str"/>
      <x:c r="L231" s="33" t="str"/>
      <x:c r="M231" s="33" t="str">
        <x:v>(75) Paris</x:v>
      </x:c>
      <x:c r="N231" s="33" t="str">
        <x:v>Oui</x:v>
      </x:c>
      <x:c r="O231" s="33" t="str">
        <x:v>data.gouv.fr_aife</x:v>
      </x:c>
      <x:c r="P231" s="33" t="str">
        <x:v>2018100013098500</x:v>
      </x:c>
    </x:row>
    <x:row r="232">
      <x:c r="A232" s="33" t="str">
        <x:v>2018150905398300</x:v>
      </x:c>
      <x:c r="B232" s="33" t="str">
        <x:v>MINARM / SGA / SID / ESID Metz - Etablissement du service d'infrastructure de la défense de Metz - ESID Metz</x:v>
      </x:c>
      <x:c r="C232" s="33" t="str">
        <x:v>MILLE</x:v>
      </x:c>
      <x:c r="D232" s="33" t="str">
        <x:v>Travaux d'entretiens ponctuels des installations d'assainissement au profit des emprises de la Base de Défense de Lille</x:v>
      </x:c>
      <x:c r="E232" s="33" t="str">
        <x:v>Travaux d'assainissement.</x:v>
      </x:c>
      <x:c r="F232" s="36" t="n">
        <x:v>20455</x:v>
      </x:c>
      <x:c r="G232" s="38" t="n">
        <x:v>43395</x:v>
      </x:c>
      <x:c r="H232" s="38" t="n">
        <x:v>43395</x:v>
      </x:c>
      <x:c r="I232" s="40" t="n">
        <x:v>3</x:v>
      </x:c>
      <x:c r="J232" s="33" t="str">
        <x:v>Marché</x:v>
      </x:c>
      <x:c r="K232" s="33" t="str">
        <x:v>Appel d'offres ouvert</x:v>
      </x:c>
      <x:c r="L232" s="33" t="str">
        <x:v>Ferme et actualisable</x:v>
      </x:c>
      <x:c r="M232" s="33" t="str">
        <x:v>(59) Nord</x:v>
      </x:c>
      <x:c r="N232" s="33" t="str">
        <x:v>Oui</x:v>
      </x:c>
      <x:c r="O232" s="33" t="str">
        <x:v>data.gouv.fr_aife</x:v>
      </x:c>
      <x:c r="P232" s="33" t="str">
        <x:v>2018150905398300</x:v>
      </x:c>
    </x:row>
    <x:row r="233">
      <x:c r="A233" s="33" t="str">
        <x:v>2018130013853600</x:v>
      </x:c>
      <x:c r="B233" s="33" t="str">
        <x:v>MINARM / SCA / PFC Sud - Plate-forme commissariat Sud (Toulon)</x:v>
      </x:c>
      <x:c r="C233" s="33" t="str">
        <x:v>TRAILER ET CONTAINER SERVICE INDUSTRIE</x:v>
      </x:c>
      <x:c r="D233" s="33" t="str">
        <x:v>Location de conteneurs frigorifiques ISO de 20 pieds(stockage de déchets) destinés à être embarqués sur des formations navigantes de la marine nationale à Toulon</x:v>
      </x:c>
      <x:c r="E233" s="33" t="str">
        <x:v>Conteneurs réfrigérés.</x:v>
      </x:c>
      <x:c r="F233" s="36" t="n">
        <x:v>16667</x:v>
      </x:c>
      <x:c r="G233" s="38" t="n">
        <x:v>43395</x:v>
      </x:c>
      <x:c r="H233" s="38" t="n">
        <x:v>43395</x:v>
      </x:c>
      <x:c r="I233" s="40" t="n">
        <x:v>36</x:v>
      </x:c>
      <x:c r="J233" s="33" t="str"/>
      <x:c r="K233" s="33" t="str"/>
      <x:c r="L233" s="33" t="str"/>
      <x:c r="M233" s="33" t="str">
        <x:v>(83) Var</x:v>
      </x:c>
      <x:c r="N233" s="33" t="str">
        <x:v>Oui</x:v>
      </x:c>
      <x:c r="O233" s="33" t="str">
        <x:v>data.gouv.fr_aife</x:v>
      </x:c>
      <x:c r="P233" s="33" t="str">
        <x:v>2018130013853600</x:v>
      </x:c>
    </x:row>
    <x:row r="234">
      <x:c r="A234" s="33" t="str">
        <x:v>2018150904925500</x:v>
      </x:c>
      <x:c r="B234" s="33" t="str">
        <x:v>MINARM / SSF / DSSF Brest - Direction du service de soutien de la flotte de Brest - DSSF Brest</x:v>
      </x:c>
      <x:c r="C234" s="33" t="str">
        <x:v>TRIPARTITE</x:v>
      </x:c>
      <x:c r="D234" s="33" t="str">
        <x:v>Approvisionnement de connecteurs de marque LEMO SA ou équivalent au profit d'un bâtiment de la marine nationale.</x:v>
      </x:c>
      <x:c r="E234" s="33" t="str">
        <x:v>Pièces de rechange pour coque et pièces mécaniques pour navires de guerre.</x:v>
      </x:c>
      <x:c r="F234" s="36" t="n">
        <x:v>1012</x:v>
      </x:c>
      <x:c r="G234" s="38" t="n">
        <x:v>43395</x:v>
      </x:c>
      <x:c r="H234" s="38" t="n">
        <x:v>43395</x:v>
      </x:c>
      <x:c r="I234" s="40" t="n">
        <x:v>1</x:v>
      </x:c>
      <x:c r="J234" s="33" t="str">
        <x:v>Marché</x:v>
      </x:c>
      <x:c r="K234" s="33" t="str">
        <x:v>Procédure adaptée</x:v>
      </x:c>
      <x:c r="L234" s="33" t="str">
        <x:v>Ferme</x:v>
      </x:c>
      <x:c r="M234" s="33" t="str">
        <x:v>(29) Finistère</x:v>
      </x:c>
      <x:c r="N234" s="33" t="str">
        <x:v>Oui</x:v>
      </x:c>
      <x:c r="O234" s="33" t="str">
        <x:v>data.gouv.fr_aife</x:v>
      </x:c>
      <x:c r="P234" s="33" t="str">
        <x:v>2018150904925500</x:v>
      </x:c>
    </x:row>
    <x:row r="235">
      <x:c r="A235" s="33" t="str">
        <x:v>2018100013079900</x:v>
      </x:c>
      <x:c r="B235" s="33" t="str">
        <x:v>MINARM / SSF / DSSF Toulon - Direction du service de soutien de la flotte de Toulon - DSSF Toulon</x:v>
      </x:c>
      <x:c r="C235" s="33" t="str">
        <x:v>LOGNAV-CM</x:v>
      </x:c>
      <x:c r="D235" s="33" t="str">
        <x:v>Accord-Cadre M16T20 010 relatif à l’approvisionnement de matériels électriques et électroniques pour le maintien en condition opérationnelle des Eléments de Force Maritime</x:v>
      </x:c>
      <x:c r="E235" s="33" t="str">
        <x:v>Pièces électroniques et électriques de rechange pour navires de guerre.</x:v>
      </x:c>
      <x:c r="F235" s="36" t="n">
        <x:v>18137</x:v>
      </x:c>
      <x:c r="G235" s="38" t="n">
        <x:v>43395</x:v>
      </x:c>
      <x:c r="H235" s="38" t="n">
        <x:v>43395</x:v>
      </x:c>
      <x:c r="I235" s="40" t="n">
        <x:v>3</x:v>
      </x:c>
      <x:c r="J235" s="33" t="str"/>
      <x:c r="K235" s="33" t="str"/>
      <x:c r="L235" s="33" t="str"/>
      <x:c r="M235" s="33" t="str">
        <x:v>(08) Ardennes</x:v>
      </x:c>
      <x:c r="N235" s="33" t="str">
        <x:v>Oui</x:v>
      </x:c>
      <x:c r="O235" s="33" t="str">
        <x:v>data.gouv.fr_aife</x:v>
      </x:c>
      <x:c r="P235" s="33" t="str">
        <x:v>2018100013079900</x:v>
      </x:c>
    </x:row>
    <x:row r="236">
      <x:c r="A236" s="33" t="str">
        <x:v>2018100013116200</x:v>
      </x:c>
      <x:c r="B236" s="33" t="str">
        <x:v>MINARM / SSF / DSSF Toulon - Direction du service de soutien de la flotte de Toulon - DSSF Toulon</x:v>
      </x:c>
      <x:c r="C236" s="33" t="str">
        <x:v>SARL EUROFOURNISUD</x:v>
      </x:c>
      <x:c r="D236" s="33" t="str">
        <x:v>Accord cadre N° 2016 M 16 T 20 010 relatif à l’approvisionnement de matériels électriques et électroniques pour le maintien en condition opérationnelle (MCO) des Eléments de Force Maritime (EFM) et des Eléments de Force Armées (EFA). -</x:v>
      </x:c>
      <x:c r="E236" s="33" t="str">
        <x:v>Pièces électroniques et électriques de rechange pour navires de guerre.</x:v>
      </x:c>
      <x:c r="F236" s="36" t="n">
        <x:v>15841</x:v>
      </x:c>
      <x:c r="G236" s="38" t="n">
        <x:v>43395</x:v>
      </x:c>
      <x:c r="H236" s="38" t="n">
        <x:v>43395</x:v>
      </x:c>
      <x:c r="I236" s="40" t="n">
        <x:v>2</x:v>
      </x:c>
      <x:c r="J236" s="33" t="str">
        <x:v>Marché subséquent</x:v>
      </x:c>
      <x:c r="K236" s="33" t="str">
        <x:v>Appel d'offres ouvert</x:v>
      </x:c>
      <x:c r="L236" s="33" t="str">
        <x:v>Ferme et actualisable</x:v>
      </x:c>
      <x:c r="M236" s="33" t="str">
        <x:v>(83) Var</x:v>
      </x:c>
      <x:c r="N236" s="33" t="str">
        <x:v>Oui</x:v>
      </x:c>
      <x:c r="O236" s="33" t="str">
        <x:v>data.gouv.fr_aife</x:v>
      </x:c>
      <x:c r="P236" s="33" t="str">
        <x:v>2018100013116200</x:v>
      </x:c>
    </x:row>
    <x:row r="237">
      <x:c r="A237" s="33" t="str">
        <x:v>2018130013850900</x:v>
      </x:c>
      <x:c r="B237" s="33" t="str">
        <x:v>MINARM / SSA / DAPSA - Direction des Approvisionnements en produits de santé des armées</x:v>
      </x:c>
      <x:c r="C237" s="33" t="str">
        <x:v>ASSISTANCE PUBLIQUE HOPITAUX DE PARIS</x:v>
      </x:c>
      <x:c r="D237" s="33" t="str">
        <x:v>Sous-traitance d'examens d'hématologie moléculaire au profit de l'ensemble hospitalier militaire parisien (EHMP)</x:v>
      </x:c>
      <x:c r="E237" s="33" t="str">
        <x:v>Services d'analyses médicales.</x:v>
      </x:c>
      <x:c r="F237" s="36" t="n">
        <x:v>140000</x:v>
      </x:c>
      <x:c r="G237" s="38" t="n">
        <x:v>43395</x:v>
      </x:c>
      <x:c r="H237" s="38" t="n">
        <x:v>43395</x:v>
      </x:c>
      <x:c r="I237" s="40" t="n">
        <x:v>48</x:v>
      </x:c>
      <x:c r="J237" s="33" t="str">
        <x:v>Accord-cadre</x:v>
      </x:c>
      <x:c r="K237" s="33" t="str"/>
      <x:c r="L237" s="33" t="str">
        <x:v>Révisable</x:v>
      </x:c>
      <x:c r="M237" s="33" t="str">
        <x:v>(92) Hauts-de-Seine</x:v>
      </x:c>
      <x:c r="N237" s="33" t="str">
        <x:v>Oui</x:v>
      </x:c>
      <x:c r="O237" s="33" t="str">
        <x:v>data.gouv.fr_aife</x:v>
      </x:c>
      <x:c r="P237" s="33" t="str">
        <x:v>2018130013850900</x:v>
      </x:c>
    </x:row>
    <x:row r="238">
      <x:c r="A238" s="33" t="str">
        <x:v>20182017F0019500</x:v>
      </x:c>
      <x:c r="B238" s="33" t="str">
        <x:v>MINARM / SEA - Service des Essences des Armées</x:v>
      </x:c>
      <x:c r="C238" s="33" t="str">
        <x:v>ARMORINE</x:v>
      </x:c>
      <x:c r="D238" s="33" t="str">
        <x:v>Ravitaillement en gazole de navigation DML conforme à la spécification CSR 4-2-00, du Service des essences des armées et de ses clients dans les ports des façades maritimes métropolitaines, par camion-citerne - lot 16 - DML - de PONTORSON à SAINT-MA</x:v>
      </x:c>
      <x:c r="E238" s="33" t="str"/>
      <x:c r="F238" s="36" t="n">
        <x:v>133333</x:v>
      </x:c>
      <x:c r="G238" s="38" t="n">
        <x:v>43395</x:v>
      </x:c>
      <x:c r="H238" s="38" t="n">
        <x:v>43395</x:v>
      </x:c>
      <x:c r="I238" s="40" t="n">
        <x:v>48</x:v>
      </x:c>
      <x:c r="J238" s="33" t="str">
        <x:v>Accord-cadre</x:v>
      </x:c>
      <x:c r="K238" s="33" t="str">
        <x:v>Appel d'offres ouvert</x:v>
      </x:c>
      <x:c r="L238" s="33" t="str"/>
      <x:c r="M238" s="33" t="str">
        <x:v>(92) Hauts-de-Seine</x:v>
      </x:c>
      <x:c r="N238" s="33" t="str">
        <x:v>Oui</x:v>
      </x:c>
      <x:c r="O238" s="33" t="str">
        <x:v>data.gouv.fr_aife</x:v>
      </x:c>
      <x:c r="P238" s="33" t="str">
        <x:v>20182017F0019500</x:v>
      </x:c>
    </x:row>
    <x:row r="239">
      <x:c r="A239" s="33" t="str">
        <x:v>2018160004933500</x:v>
      </x:c>
      <x:c r="B239" s="33" t="str">
        <x:v>MINARM / SGA / SID / ESID Rennes - Etablissement du service d'infrastructure de la défense de Rennes - ESID Rennes</x:v>
      </x:c>
      <x:c r="C239" s="33" t="str">
        <x:v>VAN CUYCK*JEAN-PAUL/</x:v>
      </x:c>
      <x:c r="D239" s="33" t="str">
        <x:v>EVREUX (27) Base Aérienne 105 - AMO en matière de qualité acoustique et de maitrise des flux d'air externes</x:v>
      </x:c>
      <x:c r="E239" s="33" t="str">
        <x:v>Services d'ingénierie.</x:v>
      </x:c>
      <x:c r="F239" s="36" t="n">
        <x:v>21260</x:v>
      </x:c>
      <x:c r="G239" s="38" t="n">
        <x:v>43395</x:v>
      </x:c>
      <x:c r="H239" s="38" t="n">
        <x:v>43395</x:v>
      </x:c>
      <x:c r="I239" s="40" t="n">
        <x:v>12</x:v>
      </x:c>
      <x:c r="J239" s="33" t="str">
        <x:v>Marché</x:v>
      </x:c>
      <x:c r="K239" s="33" t="str">
        <x:v>Appel d'offres ouvert</x:v>
      </x:c>
      <x:c r="L239" s="33" t="str">
        <x:v>Révisable</x:v>
      </x:c>
      <x:c r="M239" s="33" t="str">
        <x:v>(27) Eure</x:v>
      </x:c>
      <x:c r="N239" s="33" t="str">
        <x:v>Oui</x:v>
      </x:c>
      <x:c r="O239" s="33" t="str">
        <x:v>data.gouv.fr_aife</x:v>
      </x:c>
      <x:c r="P239" s="33" t="str">
        <x:v>2018160004933500</x:v>
      </x:c>
    </x:row>
    <x:row r="240">
      <x:c r="A240" s="33" t="str">
        <x:v>2018150904270100</x:v>
      </x:c>
      <x:c r="B240" s="33" t="str">
        <x:v>MINARM / DIRISI / DIRISI Bordeaux - Direction Interarmées des Réseaux d'Infrastructure et des Systèmes d'Information - Bordeaux</x:v>
      </x:c>
      <x:c r="C240" s="33" t="str">
        <x:v>VIA2S VIDEO INTRUS ACCESS SUPERV et SERV</x:v>
      </x:c>
      <x:c r="D240" s="33" t="str">
        <x:v>Remplacement d'une partie des installations du système de contrôle d'accès en amont des boites de jonction sur le site parisien des Archives nationales</x:v>
      </x:c>
      <x:c r="E240" s="33" t="str">
        <x:v>Système de contrôle des accès.</x:v>
      </x:c>
      <x:c r="F240" s="36" t="n">
        <x:v>57227</x:v>
      </x:c>
      <x:c r="G240" s="38" t="n">
        <x:v>43395</x:v>
      </x:c>
      <x:c r="H240" s="38" t="n">
        <x:v>43395</x:v>
      </x:c>
      <x:c r="I240" s="40" t="n">
        <x:v>3</x:v>
      </x:c>
      <x:c r="J240" s="33" t="str"/>
      <x:c r="K240" s="33" t="str"/>
      <x:c r="L240" s="33" t="str"/>
      <x:c r="M240" s="33" t="str">
        <x:v>(33) Gironde</x:v>
      </x:c>
      <x:c r="N240" s="33" t="str">
        <x:v>Oui</x:v>
      </x:c>
      <x:c r="O240" s="33" t="str">
        <x:v>data.gouv.fr_aife</x:v>
      </x:c>
      <x:c r="P240" s="33" t="str">
        <x:v>2018150904270100</x:v>
      </x:c>
    </x:row>
    <x:row r="241">
      <x:c r="A241" s="33" t="str">
        <x:v>2018150903885200</x:v>
      </x:c>
      <x:c r="B241" s="33" t="str">
        <x:v>MINARM / SSF / DSSF Brest - Direction du service de soutien de la flotte de Brest - DSSF Brest</x:v>
      </x:c>
      <x:c r="C241" s="33" t="str">
        <x:v>LOGNAV-CM</x:v>
      </x:c>
      <x:c r="D241" s="33" t="str">
        <x:v>Fournitures d’appareils de mesures, de contrôles et de signalisations de divers types et de marques équivalents pour les unités de la marine nationale.</x:v>
      </x:c>
      <x:c r="E241" s="33" t="str">
        <x:v>Pièces pour navires de guerre.</x:v>
      </x:c>
      <x:c r="F241" s="36" t="n">
        <x:v>27254</x:v>
      </x:c>
      <x:c r="G241" s="38" t="n">
        <x:v>43395</x:v>
      </x:c>
      <x:c r="H241" s="38" t="n">
        <x:v>43395</x:v>
      </x:c>
      <x:c r="I241" s="40" t="n">
        <x:v>6</x:v>
      </x:c>
      <x:c r="J241" s="33" t="str">
        <x:v>Marché</x:v>
      </x:c>
      <x:c r="K241" s="33" t="str">
        <x:v>Procédure adaptée</x:v>
      </x:c>
      <x:c r="L241" s="33" t="str">
        <x:v>Ferme</x:v>
      </x:c>
      <x:c r="M241" s="33" t="str">
        <x:v>(29) Finistère</x:v>
      </x:c>
      <x:c r="N241" s="33" t="str">
        <x:v>Oui</x:v>
      </x:c>
      <x:c r="O241" s="33" t="str">
        <x:v>data.gouv.fr_aife</x:v>
      </x:c>
      <x:c r="P241" s="33" t="str">
        <x:v>2018150903885200</x:v>
      </x:c>
    </x:row>
    <x:row r="242">
      <x:c r="A242" s="33" t="str">
        <x:v>2018100013112000</x:v>
      </x:c>
      <x:c r="B242" s="33" t="str">
        <x:v>MINARM / SSF / DSSF Toulon - Direction du service de soutien de la flotte de Toulon - DSSF Toulon</x:v>
      </x:c>
      <x:c r="C242" s="33" t="str">
        <x:v>LOGNAV-CM</x:v>
      </x:c>
      <x:c r="D242" s="33" t="str">
        <x:v>Accord cadre N° 2016M16T20024 relatif à la fourniture de rechanges de joints d’étanchéité divers pour les besoins nécessaires au maintien en condition opérationnelle des Eléments de la Force Maritime. - Marché subséquent : N° K18T2002417 relati</x:v>
      </x:c>
      <x:c r="E242" s="33" t="str">
        <x:v>Pièces pour navires de guerre.</x:v>
      </x:c>
      <x:c r="F242" s="36" t="n">
        <x:v>48461</x:v>
      </x:c>
      <x:c r="G242" s="38" t="n">
        <x:v>43395</x:v>
      </x:c>
      <x:c r="H242" s="38" t="n">
        <x:v>43395</x:v>
      </x:c>
      <x:c r="I242" s="40" t="n">
        <x:v>6</x:v>
      </x:c>
      <x:c r="J242" s="33" t="str">
        <x:v>Marché subséquent</x:v>
      </x:c>
      <x:c r="K242" s="33" t="str">
        <x:v>Appel d'offres ouvert</x:v>
      </x:c>
      <x:c r="L242" s="33" t="str">
        <x:v>Ferme et actualisable</x:v>
      </x:c>
      <x:c r="M242" s="33" t="str">
        <x:v>(83) Var</x:v>
      </x:c>
      <x:c r="N242" s="33" t="str">
        <x:v>Oui</x:v>
      </x:c>
      <x:c r="O242" s="33" t="str">
        <x:v>data.gouv.fr_aife</x:v>
      </x:c>
      <x:c r="P242" s="33" t="str">
        <x:v>2018100013112000</x:v>
      </x:c>
    </x:row>
    <x:row r="243">
      <x:c r="A243" s="33" t="str">
        <x:v>2018130013832500</x:v>
      </x:c>
      <x:c r="B243" s="33" t="str">
        <x:v>MINARM / SSA / DAPSA - Direction des Approvisionnements en produits de santé des armées</x:v>
      </x:c>
      <x:c r="C243" s="33" t="str">
        <x:v>BIO-RAD FRANCE</x:v>
      </x:c>
      <x:c r="D243" s="33" t="str">
        <x:v>fourniture de tests immuno-enzymatiques de marque BIO RAD pour détection de Platelia aspergillus au profit de l’HIA Percy de Clamart</x:v>
      </x:c>
      <x:c r="E243" s="33" t="str">
        <x:v>Réactifs de laboratoire.</x:v>
      </x:c>
      <x:c r="F243" s="36" t="n">
        <x:v>22400</x:v>
      </x:c>
      <x:c r="G243" s="38" t="n">
        <x:v>43395</x:v>
      </x:c>
      <x:c r="H243" s="38" t="n">
        <x:v>43395</x:v>
      </x:c>
      <x:c r="I243" s="40" t="n">
        <x:v>48</x:v>
      </x:c>
      <x:c r="J243" s="33" t="str"/>
      <x:c r="K243" s="33" t="str"/>
      <x:c r="L243" s="33" t="str"/>
      <x:c r="M243" s="33" t="str">
        <x:v>(92) Hauts-de-Seine</x:v>
      </x:c>
      <x:c r="N243" s="33" t="str">
        <x:v>Oui</x:v>
      </x:c>
      <x:c r="O243" s="33" t="str">
        <x:v>data.gouv.fr_aife</x:v>
      </x:c>
      <x:c r="P243" s="33" t="str">
        <x:v>2018130013832500</x:v>
      </x:c>
    </x:row>
    <x:row r="244">
      <x:c r="A244" s="33" t="str">
        <x:v>2018160004915100</x:v>
      </x:c>
      <x:c r="B244" s="33" t="str">
        <x:v>MINARM / SGA / SID / ESID Toulon - Etablissement du service d'infrastructure de la défense de Toulon - ESID Toulon</x:v>
      </x:c>
      <x:c r="C244" s="33" t="str">
        <x:v>INGEROP CONSEIL ET INGENIERIE (ICI)</x:v>
      </x:c>
      <x:c r="D244" s="33" t="str">
        <x:v>Hyères - BPL - Rénovation de Port-Avis - Création d'un terminal roulier - Marché de maîtrise d'uvre privée - Mission OPC</x:v>
      </x:c>
      <x:c r="E244" s="33" t="str">
        <x:v>Services de conception technique pour la construction d'ouvrages de génie civil.</x:v>
      </x:c>
      <x:c r="F244" s="36" t="n">
        <x:v>77300</x:v>
      </x:c>
      <x:c r="G244" s="38" t="n">
        <x:v>43395</x:v>
      </x:c>
      <x:c r="H244" s="38" t="n">
        <x:v>43395</x:v>
      </x:c>
      <x:c r="I244" s="40" t="n">
        <x:v>15</x:v>
      </x:c>
      <x:c r="J244" s="33" t="str">
        <x:v>Marché</x:v>
      </x:c>
      <x:c r="K244" s="33" t="str">
        <x:v>Appel d'offres ouvert</x:v>
      </x:c>
      <x:c r="L244" s="33" t="str">
        <x:v>Révisable</x:v>
      </x:c>
      <x:c r="M244" s="33" t="str">
        <x:v>(83) Var</x:v>
      </x:c>
      <x:c r="N244" s="33" t="str">
        <x:v>Oui</x:v>
      </x:c>
      <x:c r="O244" s="33" t="str">
        <x:v>data.gouv.fr_aife</x:v>
      </x:c>
      <x:c r="P244" s="33" t="str">
        <x:v>2018160004915100</x:v>
      </x:c>
    </x:row>
    <x:row r="245">
      <x:c r="A245" s="33" t="str">
        <x:v>20182018S8000400</x:v>
      </x:c>
      <x:c r="B245" s="33" t="str">
        <x:v>MINARM / SIAé - Service industriel de l'aéronautique</x:v>
      </x:c>
      <x:c r="C245" s="33" t="str">
        <x:v>LYCEE GENERAL ET TECHNOLOGIQUE LAFAYETTE</x:v>
      </x:c>
      <x:c r="D245" s="33" t="str">
        <x:v>Formation sur la réglementation EWIS et la sécurité FTS/CDCCL des personnels de l'atelier industriel de l'aéronautique de Clermont-Ferrand (AIA CF).</x:v>
      </x:c>
      <x:c r="E245" s="33" t="str">
        <x:v>Services de formation de personnel.</x:v>
      </x:c>
      <x:c r="F245" s="36" t="n">
        <x:v>24000</x:v>
      </x:c>
      <x:c r="G245" s="38" t="n">
        <x:v>43395</x:v>
      </x:c>
      <x:c r="H245" s="38" t="n">
        <x:v>43395</x:v>
      </x:c>
      <x:c r="I245" s="40" t="n">
        <x:v>48</x:v>
      </x:c>
      <x:c r="J245" s="33" t="str">
        <x:v>Accord-cadre</x:v>
      </x:c>
      <x:c r="K245" s="33" t="str">
        <x:v>Procédure adaptée</x:v>
      </x:c>
      <x:c r="L245" s="33" t="str">
        <x:v>Révisable</x:v>
      </x:c>
      <x:c r="M245" s="33" t="str">
        <x:v>(63) Puy-de-Dôme</x:v>
      </x:c>
      <x:c r="N245" s="33" t="str">
        <x:v>Oui</x:v>
      </x:c>
      <x:c r="O245" s="33" t="str">
        <x:v>data.gouv.fr_aife</x:v>
      </x:c>
      <x:c r="P245" s="33" t="str">
        <x:v>20182018S8000400</x:v>
      </x:c>
    </x:row>
    <x:row r="246">
      <x:c r="A246" s="33" t="str">
        <x:v>2018180005163000</x:v>
      </x:c>
      <x:c r="B246" s="33" t="str">
        <x:v>MINARM / SSA / DAPSA - Direction des Approvisionnements en produits de santé des armées</x:v>
      </x:c>
      <x:c r="C246" s="33" t="str">
        <x:v>ELECTRICITE GAY SA</x:v>
      </x:c>
      <x:c r="D246" s="33" t="str">
        <x:v>Exploitation/entretien chambres froides pharmaceutiques ERSA Marolles et Marseille, CVC ERSA Marolles, maintenance préventive/curative groupes électrogènes, onduleurs, installations/équipements/alarmes incendie ERSA Marolles - Maintenance préventive et ...</x:v>
      </x:c>
      <x:c r="E246" s="33" t="str">
        <x:v>Services de réparation et d'entretien d'installations électriques de bâtiment.</x:v>
      </x:c>
      <x:c r="F246" s="36" t="n">
        <x:v>3900</x:v>
      </x:c>
      <x:c r="G246" s="38" t="n">
        <x:v>43395</x:v>
      </x:c>
      <x:c r="H246" s="38" t="n">
        <x:v>43395</x:v>
      </x:c>
      <x:c r="I246" s="40" t="n">
        <x:v>48</x:v>
      </x:c>
      <x:c r="J246" s="33" t="str"/>
      <x:c r="K246" s="33" t="str"/>
      <x:c r="L246" s="33" t="str"/>
      <x:c r="M246" s="33" t="str">
        <x:v>(45) Loiret</x:v>
      </x:c>
      <x:c r="N246" s="33" t="str">
        <x:v>Oui</x:v>
      </x:c>
      <x:c r="O246" s="33" t="str">
        <x:v>data.gouv.fr_aife</x:v>
      </x:c>
      <x:c r="P246" s="33" t="str">
        <x:v>2018180005163000</x:v>
      </x:c>
    </x:row>
    <x:row r="247">
      <x:c r="A247" s="33" t="str">
        <x:v>2018150905402600</x:v>
      </x:c>
      <x:c r="B247" s="33" t="str">
        <x:v>MINARM / SGA / SID / ESID BREST - Etablissement du service d'infrastructure de la défense de BREST - ESID Brest</x:v>
      </x:c>
      <x:c r="C247" s="33" t="str">
        <x:v>SOCIETE ALREENNE DE MENUISERIE</x:v>
      </x:c>
      <x:c r="D247" s="33" t="str">
        <x:v>BAN Lann-Bihoué - Bâtiments B12-B27-D14-D27-E13 - Travaux de menuiseries extérieures</x:v>
      </x:c>
      <x:c r="E247" s="33" t="str">
        <x:v>Pose de menuiseries métalliques, excepté portes et fenêtres.</x:v>
      </x:c>
      <x:c r="F247" s="36" t="n">
        <x:v>43722</x:v>
      </x:c>
      <x:c r="G247" s="38" t="n">
        <x:v>43396</x:v>
      </x:c>
      <x:c r="H247" s="38" t="n">
        <x:v>43396</x:v>
      </x:c>
      <x:c r="I247" s="40" t="n">
        <x:v>3</x:v>
      </x:c>
      <x:c r="J247" s="33" t="str">
        <x:v>Marché</x:v>
      </x:c>
      <x:c r="K247" s="33" t="str">
        <x:v>Procédure adaptée</x:v>
      </x:c>
      <x:c r="L247" s="33" t="str">
        <x:v>Ferme et actualisable</x:v>
      </x:c>
      <x:c r="M247" s="33" t="str">
        <x:v>(56) Morbihan</x:v>
      </x:c>
      <x:c r="N247" s="33" t="str">
        <x:v>Oui</x:v>
      </x:c>
      <x:c r="O247" s="33" t="str">
        <x:v>data.gouv.fr_aife</x:v>
      </x:c>
      <x:c r="P247" s="33" t="str">
        <x:v>2018150905402600</x:v>
      </x:c>
    </x:row>
    <x:row r="248">
      <x:c r="A248" s="33" t="str">
        <x:v>2018150905396600</x:v>
      </x:c>
      <x:c r="B248" s="33" t="str">
        <x:v>MINARM / SGA / SID / ESID Toulon - Etablissement du service d'infrastructure de la défense de Toulon - ESID Toulon</x:v>
      </x:c>
      <x:c r="C248" s="33" t="str">
        <x:v>LMD</x:v>
      </x:c>
      <x:c r="D248" s="33" t="str">
        <x:v>Base navale de Toulon - Fourniture et mise en place d'une potence</x:v>
      </x:c>
      <x:c r="E248" s="33" t="str">
        <x:v>Dispositifs de levage.</x:v>
      </x:c>
      <x:c r="F248" s="36" t="n">
        <x:v>50278</x:v>
      </x:c>
      <x:c r="G248" s="38" t="n">
        <x:v>43396</x:v>
      </x:c>
      <x:c r="H248" s="38" t="n">
        <x:v>43396</x:v>
      </x:c>
      <x:c r="I248" s="40" t="n">
        <x:v>4</x:v>
      </x:c>
      <x:c r="J248" s="33" t="str">
        <x:v>Marché</x:v>
      </x:c>
      <x:c r="K248" s="33" t="str">
        <x:v>Appel d'offres ouvert</x:v>
      </x:c>
      <x:c r="L248" s="33" t="str">
        <x:v>Ferme</x:v>
      </x:c>
      <x:c r="M248" s="33" t="str">
        <x:v>(83) Var</x:v>
      </x:c>
      <x:c r="N248" s="33" t="str">
        <x:v>Oui</x:v>
      </x:c>
      <x:c r="O248" s="33" t="str">
        <x:v>data.gouv.fr_aife</x:v>
      </x:c>
      <x:c r="P248" s="33" t="str">
        <x:v>2018150905396600</x:v>
      </x:c>
    </x:row>
    <x:row r="249">
      <x:c r="A249" s="33" t="str">
        <x:v>2018100013111100</x:v>
      </x:c>
      <x:c r="B249" s="33" t="str">
        <x:v>MINARM / SCA / PFC Sud - Plate-forme commissariat Sud (Toulon)</x:v>
      </x:c>
      <x:c r="C249" s="33" t="str">
        <x:v>ORTEC ENVIRONNEMENT</x:v>
      </x:c>
      <x:c r="D249" s="33" t="str">
        <x:v>Nettoyage de dépôts et pompage de sédiments confinés (potentiellement dangereux) au profit de DGA/TN.</x:v>
      </x:c>
      <x:c r="E249" s="33" t="str">
        <x:v>Services liés aux déchets et ordures.</x:v>
      </x:c>
      <x:c r="F249" s="36" t="n">
        <x:v>376871</x:v>
      </x:c>
      <x:c r="G249" s="38" t="n">
        <x:v>43396</x:v>
      </x:c>
      <x:c r="H249" s="38" t="n">
        <x:v>43396</x:v>
      </x:c>
      <x:c r="I249" s="40" t="n">
        <x:v>12</x:v>
      </x:c>
      <x:c r="J249" s="33" t="str">
        <x:v>Marché</x:v>
      </x:c>
      <x:c r="K249" s="33" t="str">
        <x:v>Appel d'offres ouvert</x:v>
      </x:c>
      <x:c r="L249" s="33" t="str">
        <x:v>Ferme</x:v>
      </x:c>
      <x:c r="M249" s="33" t="str">
        <x:v>(83) Var</x:v>
      </x:c>
      <x:c r="N249" s="33" t="str">
        <x:v>Oui</x:v>
      </x:c>
      <x:c r="O249" s="33" t="str">
        <x:v>data.gouv.fr_aife</x:v>
      </x:c>
      <x:c r="P249" s="33" t="str">
        <x:v>2018100013111100</x:v>
      </x:c>
    </x:row>
    <x:row r="250">
      <x:c r="A250" s="33" t="str">
        <x:v>2018130013846800</x:v>
      </x:c>
      <x:c r="B250" s="33" t="str">
        <x:v>MINARM / SCA / PFC Brest - Plate-forme commissariat Brest</x:v>
      </x:c>
      <x:c r="C250" s="33" t="str">
        <x:v>ORANGE</x:v>
      </x:c>
      <x:c r="D250" s="33" t="str">
        <x:v>Acquisition de matériels, de logiciels et de services permettant la mise en place et le déploiement de services de mobilité sécurisée.</x:v>
      </x:c>
      <x:c r="E250" s="33" t="str">
        <x:v>Services de téléphonie et de transmission de données.</x:v>
      </x:c>
      <x:c r="F250" s="36" t="n">
        <x:v>145000</x:v>
      </x:c>
      <x:c r="G250" s="38" t="n">
        <x:v>43396</x:v>
      </x:c>
      <x:c r="H250" s="38" t="n">
        <x:v>43396</x:v>
      </x:c>
      <x:c r="I250" s="40" t="n">
        <x:v>60</x:v>
      </x:c>
      <x:c r="J250" s="33" t="str"/>
      <x:c r="K250" s="33" t="str"/>
      <x:c r="L250" s="33" t="str"/>
      <x:c r="M250" s="33" t="str">
        <x:v>(29) Finistère</x:v>
      </x:c>
      <x:c r="N250" s="33" t="str">
        <x:v>Oui</x:v>
      </x:c>
      <x:c r="O250" s="33" t="str">
        <x:v>data.gouv.fr_aife</x:v>
      </x:c>
      <x:c r="P250" s="33" t="str">
        <x:v>2018130013846800</x:v>
      </x:c>
    </x:row>
    <x:row r="251">
      <x:c r="A251" s="33" t="str">
        <x:v>20182018S0004400</x:v>
      </x:c>
      <x:c r="B251" s="33" t="str">
        <x:v>MINARM / ESTM / EPA / ONAC - Office National des Anciens Combattants et victimes de guerre</x:v>
      </x:c>
      <x:c r="C251" s="33" t="str">
        <x:v>TECHNIGAZON</x:v>
      </x:c>
      <x:c r="D251" s="33" t="str">
        <x:v>Entretien des espaces verts des nécropoles nationales et des carrés militaires - 2018007POL - Entretien des espaces verts de nécropoles nationales et de carrés militaires en Meurthe et Moselle</x:v>
      </x:c>
      <x:c r="E251" s="33" t="str">
        <x:v>Réalisation et entretien d'espaces verts.</x:v>
      </x:c>
      <x:c r="F251" s="36" t="n">
        <x:v>81781</x:v>
      </x:c>
      <x:c r="G251" s="38" t="n">
        <x:v>43396</x:v>
      </x:c>
      <x:c r="H251" s="38" t="n">
        <x:v>43396</x:v>
      </x:c>
      <x:c r="I251" s="40" t="n">
        <x:v>48</x:v>
      </x:c>
      <x:c r="J251" s="33" t="str">
        <x:v>Accord-cadre</x:v>
      </x:c>
      <x:c r="K251" s="33" t="str">
        <x:v>Appel d'offres ouvert</x:v>
      </x:c>
      <x:c r="L251" s="33" t="str">
        <x:v>Révisable</x:v>
      </x:c>
      <x:c r="M251" s="33" t="str">
        <x:v>(54) Meurthe-et-Moselle</x:v>
      </x:c>
      <x:c r="N251" s="33" t="str">
        <x:v>Oui</x:v>
      </x:c>
      <x:c r="O251" s="33" t="str">
        <x:v>data.gouv.fr_aife</x:v>
      </x:c>
      <x:c r="P251" s="33" t="str">
        <x:v>20182018S0004400</x:v>
      </x:c>
    </x:row>
    <x:row r="252">
      <x:c r="A252" s="33" t="str">
        <x:v>20182018S0004500</x:v>
      </x:c>
      <x:c r="B252" s="33" t="str">
        <x:v>MINARM / ESTM / EPA / ONAC - Office National des Anciens Combattants et victimes de guerre</x:v>
      </x:c>
      <x:c r="C252" s="33" t="str">
        <x:v>TECHNIGAZON</x:v>
      </x:c>
      <x:c r="D252" s="33" t="str">
        <x:v>Entretien des espaces verts des nécropoles nationales et des carrés militaires - 2018008POL - Entretien des espaces verts de nécropoles nationales et de carrés militaires de Moselle et Meurthe et Moselle</x:v>
      </x:c>
      <x:c r="E252" s="33" t="str">
        <x:v>Réalisation et entretien d'espaces verts.</x:v>
      </x:c>
      <x:c r="F252" s="36" t="n">
        <x:v>40756</x:v>
      </x:c>
      <x:c r="G252" s="38" t="n">
        <x:v>43396</x:v>
      </x:c>
      <x:c r="H252" s="38" t="n">
        <x:v>43396</x:v>
      </x:c>
      <x:c r="I252" s="40" t="n">
        <x:v>48</x:v>
      </x:c>
      <x:c r="J252" s="33" t="str">
        <x:v>Accord-cadre</x:v>
      </x:c>
      <x:c r="K252" s="33" t="str">
        <x:v>Appel d'offres ouvert</x:v>
      </x:c>
      <x:c r="L252" s="33" t="str">
        <x:v>Révisable</x:v>
      </x:c>
      <x:c r="M252" s="33" t="str">
        <x:v>(54) Meurthe-et-Moselle</x:v>
      </x:c>
      <x:c r="N252" s="33" t="str">
        <x:v>Oui</x:v>
      </x:c>
      <x:c r="O252" s="33" t="str">
        <x:v>data.gouv.fr_aife</x:v>
      </x:c>
      <x:c r="P252" s="33" t="str">
        <x:v>20182018S0004500</x:v>
      </x:c>
    </x:row>
    <x:row r="253">
      <x:c r="A253" s="33" t="str">
        <x:v>2018130013853000</x:v>
      </x:c>
      <x:c r="B253" s="33" t="str">
        <x:v>MINARM / SGA / SID / ESID Rennes - Etablissement du service d'infrastructure de la défense de Rennes - ESID Rennes</x:v>
      </x:c>
      <x:c r="C253" s="33" t="str">
        <x:v>BUREAU VERITAS EXPLOITATION</x:v>
      </x:c>
      <x:c r="D253" s="33" t="str">
        <x:v>ESID DE RENNES Régions Bretagne, Centre, Basse et Haute-Normandie, Pays de Loire Contrôle technique de l'exposition des travailleurs au plomb métallique et ses composés dans les stands de tir fermés.</x:v>
      </x:c>
      <x:c r="E253" s="33" t="str">
        <x:v>Services de contrôle technique.</x:v>
      </x:c>
      <x:c r="F253" s="36" t="n">
        <x:v>120005</x:v>
      </x:c>
      <x:c r="G253" s="38" t="n">
        <x:v>43396</x:v>
      </x:c>
      <x:c r="H253" s="38" t="n">
        <x:v>43396</x:v>
      </x:c>
      <x:c r="I253" s="40" t="n">
        <x:v>48</x:v>
      </x:c>
      <x:c r="J253" s="33" t="str"/>
      <x:c r="K253" s="33" t="str"/>
      <x:c r="L253" s="33" t="str"/>
      <x:c r="M253" s="33" t="str">
        <x:v>(56) Morbihan</x:v>
      </x:c>
      <x:c r="N253" s="33" t="str">
        <x:v>Oui</x:v>
      </x:c>
      <x:c r="O253" s="33" t="str">
        <x:v>data.gouv.fr_aife</x:v>
      </x:c>
      <x:c r="P253" s="33" t="str">
        <x:v>2018130013853000</x:v>
      </x:c>
    </x:row>
    <x:row r="254">
      <x:c r="A254" s="33" t="str">
        <x:v>2018100013126500</x:v>
      </x:c>
      <x:c r="B254" s="33" t="str">
        <x:v>MINARM / SGA / SID / ESID Toulon - Etablissement du service d'infrastructure de la défense de Toulon - ESID Toulon</x:v>
      </x:c>
      <x:c r="C254" s="33" t="str">
        <x:v>CEGELEC DEFENSE ET NAVAL SUD-EST</x:v>
      </x:c>
      <x:c r="D254" s="33" t="str">
        <x:v>Hyères - PRODEF 54ème RA - Quartier VASSOIGNE - Bât.001 PAF - Remplacement porte actuelle par une porte blindée avec antidégondage et serrure à clef trois points - MS n°22 à l'AC 17-DC-1001</x:v>
      </x:c>
      <x:c r="E254" s="33" t="str">
        <x:v>Travaux d'équipement du bâtiment.</x:v>
      </x:c>
      <x:c r="F254" s="36" t="n">
        <x:v>5602</x:v>
      </x:c>
      <x:c r="G254" s="38" t="n">
        <x:v>43396</x:v>
      </x:c>
      <x:c r="H254" s="38" t="n">
        <x:v>43396</x:v>
      </x:c>
      <x:c r="I254" s="40" t="n">
        <x:v>5</x:v>
      </x:c>
      <x:c r="J254" s="33" t="str">
        <x:v>Marché subséquent</x:v>
      </x:c>
      <x:c r="K254" s="33" t="str">
        <x:v>Appel d'offres ouvert</x:v>
      </x:c>
      <x:c r="L254" s="33" t="str">
        <x:v>Ferme</x:v>
      </x:c>
      <x:c r="M254" s="33" t="str">
        <x:v>(83) Var</x:v>
      </x:c>
      <x:c r="N254" s="33" t="str">
        <x:v>Oui</x:v>
      </x:c>
      <x:c r="O254" s="33" t="str">
        <x:v>data.gouv.fr_aife</x:v>
      </x:c>
      <x:c r="P254" s="33" t="str">
        <x:v>2018100013126500</x:v>
      </x:c>
    </x:row>
    <x:row r="255">
      <x:c r="A255" s="33" t="str">
        <x:v>2018150905398500</x:v>
      </x:c>
      <x:c r="B255" s="33" t="str">
        <x:v>MINARM / SGA / SID / ESID Toulon - Etablissement du service d'infrastructure de la défense de Toulon - ESID Toulon</x:v>
      </x:c>
      <x:c r="C255" s="33" t="str">
        <x:v>INEO PROVENCE ET COTE D AZUR</x:v>
      </x:c>
      <x:c r="D255" s="33" t="str">
        <x:v>SAINT-MANDRIER – Commando HUBERT – PESCE – Installation d’un groupe de secours électrique.</x:v>
      </x:c>
      <x:c r="E255" s="33" t="str">
        <x:v>Services d'installation de générateurs.</x:v>
      </x:c>
      <x:c r="F255" s="36" t="n">
        <x:v>46964</x:v>
      </x:c>
      <x:c r="G255" s="38" t="n">
        <x:v>43396</x:v>
      </x:c>
      <x:c r="H255" s="38" t="n">
        <x:v>43396</x:v>
      </x:c>
      <x:c r="I255" s="40" t="n">
        <x:v>4</x:v>
      </x:c>
      <x:c r="J255" s="33" t="str">
        <x:v>Marché</x:v>
      </x:c>
      <x:c r="K255" s="33" t="str">
        <x:v>Procédure adaptée</x:v>
      </x:c>
      <x:c r="L255" s="33" t="str">
        <x:v>Ferme</x:v>
      </x:c>
      <x:c r="M255" s="33" t="str">
        <x:v>(83) Var</x:v>
      </x:c>
      <x:c r="N255" s="33" t="str">
        <x:v>Oui</x:v>
      </x:c>
      <x:c r="O255" s="33" t="str">
        <x:v>data.gouv.fr_aife</x:v>
      </x:c>
      <x:c r="P255" s="33" t="str">
        <x:v>2018150905398500</x:v>
      </x:c>
    </x:row>
    <x:row r="256">
      <x:c r="A256" s="33" t="str">
        <x:v>20182018S5011900</x:v>
      </x:c>
      <x:c r="B256" s="33" t="str">
        <x:v>MINARM / ESTM / EPA / ONAC - Office National des Anciens Combattants et victimes de guerre</x:v>
      </x:c>
      <x:c r="C256" s="33" t="str">
        <x:v>TECHNIGAZON</x:v>
      </x:c>
      <x:c r="D256" s="33" t="str">
        <x:v>Entretien des espaces verts des nécropoles nationales et des carrés militaires - 2018006POL - Entretien des espaces verts de nécropoles nationales et de carrés militaires en Meurthe et Moselle et Vosges</x:v>
      </x:c>
      <x:c r="E256" s="33" t="str">
        <x:v>Réalisation et entretien d'espaces verts.</x:v>
      </x:c>
      <x:c r="F256" s="36" t="n">
        <x:v>62882</x:v>
      </x:c>
      <x:c r="G256" s="38" t="n">
        <x:v>43396</x:v>
      </x:c>
      <x:c r="H256" s="38" t="n">
        <x:v>43396</x:v>
      </x:c>
      <x:c r="I256" s="40" t="n">
        <x:v>48</x:v>
      </x:c>
      <x:c r="J256" s="33" t="str">
        <x:v>Accord-cadre</x:v>
      </x:c>
      <x:c r="K256" s="33" t="str">
        <x:v>Appel d'offres ouvert</x:v>
      </x:c>
      <x:c r="L256" s="33" t="str">
        <x:v>Révisable</x:v>
      </x:c>
      <x:c r="M256" s="33" t="str">
        <x:v>(54) Meurthe-et-Moselle</x:v>
      </x:c>
      <x:c r="N256" s="33" t="str">
        <x:v>Oui</x:v>
      </x:c>
      <x:c r="O256" s="33" t="str">
        <x:v>data.gouv.fr_aife</x:v>
      </x:c>
      <x:c r="P256" s="33" t="str">
        <x:v>20182018S5011900</x:v>
      </x:c>
    </x:row>
    <x:row r="257">
      <x:c r="A257" s="33" t="str">
        <x:v>2018130013846700</x:v>
      </x:c>
      <x:c r="B257" s="33" t="str">
        <x:v>MINARM / SGA / SID / ESID Rennes - Etablissement du service d'infrastructure de la défense de Rennes - ESID Rennes</x:v>
      </x:c>
      <x:c r="C257" s="33" t="str">
        <x:v>KONE</x:v>
      </x:c>
      <x:c r="D257" s="33" t="str">
        <x:v>BOURGES - AVORD (18) - Maintenance des portes, portails et barrières sur les sites militaires - Maintenance des portes, portails et barrières</x:v>
      </x:c>
      <x:c r="E257" s="33" t="str">
        <x:v>Menuiserie pour la construction.</x:v>
      </x:c>
      <x:c r="F257" s="36" t="n">
        <x:v>1200000</x:v>
      </x:c>
      <x:c r="G257" s="38" t="n">
        <x:v>43396</x:v>
      </x:c>
      <x:c r="H257" s="38" t="n">
        <x:v>43396</x:v>
      </x:c>
      <x:c r="I257" s="40" t="n">
        <x:v>48</x:v>
      </x:c>
      <x:c r="J257" s="33" t="str"/>
      <x:c r="K257" s="33" t="str"/>
      <x:c r="L257" s="33" t="str"/>
      <x:c r="M257" s="33" t="str">
        <x:v>(18) Cher</x:v>
      </x:c>
      <x:c r="N257" s="33" t="str">
        <x:v>Oui</x:v>
      </x:c>
      <x:c r="O257" s="33" t="str">
        <x:v>data.gouv.fr_aife</x:v>
      </x:c>
      <x:c r="P257" s="33" t="str">
        <x:v>2018130013846700</x:v>
      </x:c>
    </x:row>
    <x:row r="258">
      <x:c r="A258" s="33" t="str">
        <x:v>2018150903123700</x:v>
      </x:c>
      <x:c r="B258" s="33" t="str">
        <x:v>MINARM / SGA / SID / ESID Metz - Etablissement du service d'infrastructure de la défense de Metz - ESID Metz</x:v>
      </x:c>
      <x:c r="C258" s="33" t="str">
        <x:v>ARCHES DEMOLITION</x:v>
      </x:c>
      <x:c r="D258" s="33" t="str">
        <x:v>SAINT-DIZIER (52) - BA 113 - Démantèlement de la station carburant (VRD)</x:v>
      </x:c>
      <x:c r="E258" s="33" t="str">
        <x:v>Démolition de plateformes pétrolières.</x:v>
      </x:c>
      <x:c r="F258" s="36" t="n">
        <x:v>27389</x:v>
      </x:c>
      <x:c r="G258" s="38" t="n">
        <x:v>43396</x:v>
      </x:c>
      <x:c r="H258" s="38" t="n">
        <x:v>43396</x:v>
      </x:c>
      <x:c r="I258" s="40" t="n">
        <x:v>3</x:v>
      </x:c>
      <x:c r="J258" s="33" t="str"/>
      <x:c r="K258" s="33" t="str"/>
      <x:c r="L258" s="33" t="str"/>
      <x:c r="M258" s="33" t="str">
        <x:v>(52) Haute-Marne</x:v>
      </x:c>
      <x:c r="N258" s="33" t="str">
        <x:v>Oui</x:v>
      </x:c>
      <x:c r="O258" s="33" t="str">
        <x:v>data.gouv.fr_aife</x:v>
      </x:c>
      <x:c r="P258" s="33" t="str">
        <x:v>2018150903123700</x:v>
      </x:c>
    </x:row>
    <x:row r="259">
      <x:c r="A259" s="33" t="str">
        <x:v>20182018S8001800</x:v>
      </x:c>
      <x:c r="B259" s="33" t="str">
        <x:v>MINARM / DGA / DO / S2A / PROD / DA-BA - Division achats - Toulouse/Balma</x:v>
      </x:c>
      <x:c r="C259" s="33" t="str">
        <x:v>I.T.H.P.P.</x:v>
      </x:c>
      <x:c r="D259" s="33" t="str">
        <x:v>Maintien en Condition Opérationnelle de 3 générateurs foudre et achat d'un moyen de génération d'onde B pour les essais ponctuels de FPr2.</x:v>
      </x:c>
      <x:c r="E259" s="33" t="str">
        <x:v>Services d'installation de générateurs.</x:v>
      </x:c>
      <x:c r="F259" s="36" t="n">
        <x:v>1500000</x:v>
      </x:c>
      <x:c r="G259" s="38" t="n">
        <x:v>43396</x:v>
      </x:c>
      <x:c r="H259" s="38" t="n">
        <x:v>43396</x:v>
      </x:c>
      <x:c r="I259" s="40" t="n">
        <x:v>72</x:v>
      </x:c>
      <x:c r="J259" s="33" t="str">
        <x:v>Accord-cadre</x:v>
      </x:c>
      <x:c r="K259" s="33" t="str"/>
      <x:c r="L259" s="33" t="str">
        <x:v>Révisable</x:v>
      </x:c>
      <x:c r="M259" s="33" t="str">
        <x:v>(31) Haute-Garonne</x:v>
      </x:c>
      <x:c r="N259" s="33" t="str">
        <x:v>Oui</x:v>
      </x:c>
      <x:c r="O259" s="33" t="str">
        <x:v>data.gouv.fr_aife</x:v>
      </x:c>
      <x:c r="P259" s="33" t="str">
        <x:v>20182018S8001800</x:v>
      </x:c>
    </x:row>
    <x:row r="260">
      <x:c r="A260" s="33" t="str">
        <x:v>20182018F0005500</x:v>
      </x:c>
      <x:c r="B260" s="33" t="str">
        <x:v>MINARM / SIAé / AIA Ambérieu - Atelier Industriel de l'Aéronautique d'Ambérieu en Bugey - AIA Ambérieu</x:v>
      </x:c>
      <x:c r="C260" s="33" t="str">
        <x:v>M B ELECTRONIQUE</x:v>
      </x:c>
      <x:c r="D260" s="33" t="str">
        <x:v>CCP n° 11/18 : Acquisition d’appareils de métrologie neufs au profit de l'Atelier Industriel de l'Aéronautique d'Ambérieu en Bugey (AIA.AB)</x:v>
      </x:c>
      <x:c r="E260" s="33" t="str">
        <x:v>Matériel de mesure et de contrôle.</x:v>
      </x:c>
      <x:c r="F260" s="36" t="n">
        <x:v>37980</x:v>
      </x:c>
      <x:c r="G260" s="38" t="n">
        <x:v>43396</x:v>
      </x:c>
      <x:c r="H260" s="38" t="n">
        <x:v>43396</x:v>
      </x:c>
      <x:c r="I260" s="40" t="n">
        <x:v>3</x:v>
      </x:c>
      <x:c r="J260" s="33" t="str">
        <x:v>Marché</x:v>
      </x:c>
      <x:c r="K260" s="33" t="str"/>
      <x:c r="L260" s="33" t="str">
        <x:v>Ferme</x:v>
      </x:c>
      <x:c r="M260" s="33" t="str">
        <x:v>(01) Ain</x:v>
      </x:c>
      <x:c r="N260" s="33" t="str">
        <x:v>Oui</x:v>
      </x:c>
      <x:c r="O260" s="33" t="str">
        <x:v>data.gouv.fr_aife</x:v>
      </x:c>
      <x:c r="P260" s="33" t="str">
        <x:v>20182018F0005500</x:v>
      </x:c>
    </x:row>
    <x:row r="261">
      <x:c r="A261" s="33" t="str">
        <x:v>2018130013845300</x:v>
      </x:c>
      <x:c r="B261" s="33" t="str">
        <x:v>MINARM / DGA / DO / S2A / PROD / DA-BA - Division achats - Toulouse/Balma</x:v>
      </x:c>
      <x:c r="C261" s="33" t="str">
        <x:v>TRESCAL</x:v>
      </x:c>
      <x:c r="D261" s="33" t="str">
        <x:v>Maintenance d'alimentations et charges électriques de puissance -</x:v>
      </x:c>
      <x:c r="E261" s="33" t="str">
        <x:v>Services de réparation et d'entretien d'appareils de mesure, d'essai et de contrôle.</x:v>
      </x:c>
      <x:c r="F261" s="36" t="n">
        <x:v>291666</x:v>
      </x:c>
      <x:c r="G261" s="38" t="n">
        <x:v>43396</x:v>
      </x:c>
      <x:c r="H261" s="38" t="n">
        <x:v>43396</x:v>
      </x:c>
      <x:c r="I261" s="40" t="n">
        <x:v>72</x:v>
      </x:c>
      <x:c r="J261" s="33" t="str"/>
      <x:c r="K261" s="33" t="str"/>
      <x:c r="L261" s="33" t="str"/>
      <x:c r="M261" s="33" t="str">
        <x:v>(31) Haute-Garonne</x:v>
      </x:c>
      <x:c r="N261" s="33" t="str">
        <x:v>Oui</x:v>
      </x:c>
      <x:c r="O261" s="33" t="str">
        <x:v>data.gouv.fr_aife</x:v>
      </x:c>
      <x:c r="P261" s="33" t="str">
        <x:v>2018130013845300</x:v>
      </x:c>
    </x:row>
    <x:row r="262">
      <x:c r="A262" s="33" t="str">
        <x:v>2018130013845700</x:v>
      </x:c>
      <x:c r="B262" s="33" t="str">
        <x:v>MINARM / DGA / DO / S2A / PROD / DA-BA - Division achats - Toulouse/Balma</x:v>
      </x:c>
      <x:c r="C262" s="33" t="str">
        <x:v>I.T.H.P.P.</x:v>
      </x:c>
      <x:c r="D262" s="33" t="str">
        <x:v>Maintien en Condition Opérationnelle, Maintien à Hauteur Exceptionnelle du générateur Super Dicom et achat d'un moyen de génération d'onde B pour les essais ponctuels de FPr2.</x:v>
      </x:c>
      <x:c r="E262" s="33" t="str">
        <x:v>Services d'installation de générateurs.</x:v>
      </x:c>
      <x:c r="F262" s="36" t="n">
        <x:v>1500000</x:v>
      </x:c>
      <x:c r="G262" s="38" t="n">
        <x:v>43396</x:v>
      </x:c>
      <x:c r="H262" s="38" t="n">
        <x:v>43396</x:v>
      </x:c>
      <x:c r="I262" s="40" t="n">
        <x:v>72</x:v>
      </x:c>
      <x:c r="J262" s="33" t="str"/>
      <x:c r="K262" s="33" t="str"/>
      <x:c r="L262" s="33" t="str"/>
      <x:c r="M262" s="33" t="str">
        <x:v>(31) Haute-Garonne</x:v>
      </x:c>
      <x:c r="N262" s="33" t="str">
        <x:v>Oui</x:v>
      </x:c>
      <x:c r="O262" s="33" t="str">
        <x:v>data.gouv.fr_aife</x:v>
      </x:c>
      <x:c r="P262" s="33" t="str">
        <x:v>2018130013845700</x:v>
      </x:c>
    </x:row>
    <x:row r="263">
      <x:c r="A263" s="33" t="str">
        <x:v>2018150903145000</x:v>
      </x:c>
      <x:c r="B263" s="33" t="str">
        <x:v>MINARM / SSF / DSSF Brest - Direction du service de soutien de la flotte de Brest - DSSF Brest</x:v>
      </x:c>
      <x:c r="C263" s="33" t="str">
        <x:v>COMPTOIR GENERAL DES METAUX</x:v>
      </x:c>
      <x:c r="D263" s="33" t="str">
        <x:v>Approvisionnement de matières industrielles en inox, au profit de la Base Navale de Papeete</x:v>
      </x:c>
      <x:c r="E263" s="33" t="str">
        <x:v>Pièces pour navires de guerre.</x:v>
      </x:c>
      <x:c r="F263" s="36" t="n">
        <x:v>41009</x:v>
      </x:c>
      <x:c r="G263" s="38" t="n">
        <x:v>43396</x:v>
      </x:c>
      <x:c r="H263" s="38" t="n">
        <x:v>43396</x:v>
      </x:c>
      <x:c r="I263" s="40" t="n">
        <x:v>3</x:v>
      </x:c>
      <x:c r="J263" s="33" t="str"/>
      <x:c r="K263" s="33" t="str"/>
      <x:c r="L263" s="33" t="str"/>
      <x:c r="M263" s="33" t="str">
        <x:v>(29) Finistère</x:v>
      </x:c>
      <x:c r="N263" s="33" t="str">
        <x:v>Oui</x:v>
      </x:c>
      <x:c r="O263" s="33" t="str">
        <x:v>data.gouv.fr_aife</x:v>
      </x:c>
      <x:c r="P263" s="33" t="str">
        <x:v>2018150903145000</x:v>
      </x:c>
    </x:row>
    <x:row r="264">
      <x:c r="A264" s="33" t="str">
        <x:v>2018150905398400</x:v>
      </x:c>
      <x:c r="B264" s="33" t="str">
        <x:v>MINARM / SSF / DSSF Brest - Direction du service de soutien de la flotte de Brest - DSSF Brest</x:v>
      </x:c>
      <x:c r="C264" s="33" t="str">
        <x:v>LOGNAV-CM</x:v>
      </x:c>
      <x:c r="D264" s="33" t="str">
        <x:v>Approvisionnement de matières industrielles en inox au profit du Service Logistique de la Marine de Brest</x:v>
      </x:c>
      <x:c r="E264" s="33" t="str">
        <x:v>Pièces pour navires de guerre.</x:v>
      </x:c>
      <x:c r="F264" s="36" t="n">
        <x:v>3198</x:v>
      </x:c>
      <x:c r="G264" s="38" t="n">
        <x:v>43396</x:v>
      </x:c>
      <x:c r="H264" s="38" t="n">
        <x:v>43396</x:v>
      </x:c>
      <x:c r="I264" s="40" t="n">
        <x:v>1</x:v>
      </x:c>
      <x:c r="J264" s="33" t="str">
        <x:v>Marché</x:v>
      </x:c>
      <x:c r="K264" s="33" t="str">
        <x:v>Procédure adaptée</x:v>
      </x:c>
      <x:c r="L264" s="33" t="str">
        <x:v>Ferme</x:v>
      </x:c>
      <x:c r="M264" s="33" t="str">
        <x:v>(29) Finistère</x:v>
      </x:c>
      <x:c r="N264" s="33" t="str">
        <x:v>Oui</x:v>
      </x:c>
      <x:c r="O264" s="33" t="str">
        <x:v>data.gouv.fr_aife</x:v>
      </x:c>
      <x:c r="P264" s="33" t="str">
        <x:v>2018150905398400</x:v>
      </x:c>
    </x:row>
    <x:row r="265">
      <x:c r="A265" s="33" t="str">
        <x:v>2018100013123400</x:v>
      </x:c>
      <x:c r="B265" s="33" t="str">
        <x:v>MINARM / SSF / DSSF Toulon - Direction du service de soutien de la flotte de Toulon - DSSF Toulon</x:v>
      </x:c>
      <x:c r="C265" s="33" t="str">
        <x:v>AART ELECTRONICS</x:v>
      </x:c>
      <x:c r="D265" s="33" t="str">
        <x:v>AC M16T20 015 relatif à l’approvisionnement de fourniture de matériels de mesure et de contrôle nécessaires au maintien en condition opérationnelle (MCO) des Eléments de Force Maritime (EFM) et des Eléments de Force Armées (EFA). -</x:v>
      </x:c>
      <x:c r="E265" s="33" t="str">
        <x:v>Pièces pour navires de guerre.</x:v>
      </x:c>
      <x:c r="F265" s="36" t="n">
        <x:v>14775</x:v>
      </x:c>
      <x:c r="G265" s="38" t="n">
        <x:v>43396</x:v>
      </x:c>
      <x:c r="H265" s="38" t="n">
        <x:v>43396</x:v>
      </x:c>
      <x:c r="I265" s="40" t="n">
        <x:v>2</x:v>
      </x:c>
      <x:c r="J265" s="33" t="str">
        <x:v>Marché subséquent</x:v>
      </x:c>
      <x:c r="K265" s="33" t="str">
        <x:v>Appel d'offres ouvert</x:v>
      </x:c>
      <x:c r="L265" s="33" t="str">
        <x:v>Ferme et actualisable</x:v>
      </x:c>
      <x:c r="M265" s="33" t="str">
        <x:v>(83) Var</x:v>
      </x:c>
      <x:c r="N265" s="33" t="str">
        <x:v>Oui</x:v>
      </x:c>
      <x:c r="O265" s="33" t="str">
        <x:v>data.gouv.fr_aife</x:v>
      </x:c>
      <x:c r="P265" s="33" t="str">
        <x:v>2018100013123400</x:v>
      </x:c>
    </x:row>
    <x:row r="266">
      <x:c r="A266" s="33" t="str">
        <x:v>2018100013132300</x:v>
      </x:c>
      <x:c r="B266" s="33" t="str">
        <x:v>MINARM / SGA / SID / ESID Bordeaux - Etablissement du service d'infrastructure de la défense de Bordeaux - ESID Bordeaux</x:v>
      </x:c>
      <x:c r="C266" s="33" t="str">
        <x:v>EIFFAGE CONSTRUCTION MIDI PYRENEES</x:v>
      </x:c>
      <x:c r="D266" s="33" t="str">
        <x:v>Pamiers 09 : rénovation du bâtiment 001 - poste d'accueil et de filtrage.</x:v>
      </x:c>
      <x:c r="E266" s="33" t="str">
        <x:v>Travaux de réfection.</x:v>
      </x:c>
      <x:c r="F266" s="36" t="n">
        <x:v>532071</x:v>
      </x:c>
      <x:c r="G266" s="38" t="n">
        <x:v>43396</x:v>
      </x:c>
      <x:c r="H266" s="38" t="n">
        <x:v>43396</x:v>
      </x:c>
      <x:c r="I266" s="40" t="n">
        <x:v>7</x:v>
      </x:c>
      <x:c r="J266" s="33" t="str">
        <x:v>Marché</x:v>
      </x:c>
      <x:c r="K266" s="33" t="str">
        <x:v>Procédure adaptée</x:v>
      </x:c>
      <x:c r="L266" s="33" t="str">
        <x:v>Révisable</x:v>
      </x:c>
      <x:c r="M266" s="33" t="str">
        <x:v>(09) Ariège</x:v>
      </x:c>
      <x:c r="N266" s="33" t="str">
        <x:v>Oui</x:v>
      </x:c>
      <x:c r="O266" s="33" t="str">
        <x:v>data.gouv.fr_aife</x:v>
      </x:c>
      <x:c r="P266" s="33" t="str">
        <x:v>2018100013132300</x:v>
      </x:c>
    </x:row>
    <x:row r="267">
      <x:c r="A267" s="33" t="str">
        <x:v>20182018S0004200</x:v>
      </x:c>
      <x:c r="B267" s="33" t="str">
        <x:v>MINARM / ESTM / EPA / ONAC - Office National des Anciens Combattants et victimes de guerre</x:v>
      </x:c>
      <x:c r="C267" s="33" t="str">
        <x:v>TECHNIGAZON</x:v>
      </x:c>
      <x:c r="D267" s="33" t="str">
        <x:v>Entretien des espaces verts des nécropoles nationales et des carrés militaires - 2018005POL - Entretien des espaces verts de nécropoles nationales et de carrés militaires en Moselle</x:v>
      </x:c>
      <x:c r="E267" s="33" t="str">
        <x:v>Réalisation et entretien d'espaces verts.</x:v>
      </x:c>
      <x:c r="F267" s="36" t="n">
        <x:v>68515</x:v>
      </x:c>
      <x:c r="G267" s="38" t="n">
        <x:v>43396</x:v>
      </x:c>
      <x:c r="H267" s="38" t="n">
        <x:v>43396</x:v>
      </x:c>
      <x:c r="I267" s="40" t="n">
        <x:v>48</x:v>
      </x:c>
      <x:c r="J267" s="33" t="str">
        <x:v>Accord-cadre</x:v>
      </x:c>
      <x:c r="K267" s="33" t="str">
        <x:v>Appel d'offres ouvert</x:v>
      </x:c>
      <x:c r="L267" s="33" t="str">
        <x:v>Révisable</x:v>
      </x:c>
      <x:c r="M267" s="33" t="str">
        <x:v>(54) Meurthe-et-Moselle</x:v>
      </x:c>
      <x:c r="N267" s="33" t="str">
        <x:v>Oui</x:v>
      </x:c>
      <x:c r="O267" s="33" t="str">
        <x:v>data.gouv.fr_aife</x:v>
      </x:c>
      <x:c r="P267" s="33" t="str">
        <x:v>20182018S0004200</x:v>
      </x:c>
    </x:row>
    <x:row r="268">
      <x:c r="A268" s="33" t="str">
        <x:v>2018150903139900</x:v>
      </x:c>
      <x:c r="B268" s="33" t="str">
        <x:v>MINARM / SGA / SID / ESID Metz - Etablissement du service d'infrastructure de la défense de Metz - ESID Metz</x:v>
      </x:c>
      <x:c r="C268" s="33" t="str">
        <x:v>CIDECO</x:v>
      </x:c>
      <x:c r="D268" s="33" t="str">
        <x:v>CHALON S/SAONE (71) CARNOT BPIA Réhabilitation du bâtiment 0019.</x:v>
      </x:c>
      <x:c r="E268" s="33" t="str">
        <x:v>Services d'ingénierie.</x:v>
      </x:c>
      <x:c r="F268" s="36" t="n">
        <x:v>14200</x:v>
      </x:c>
      <x:c r="G268" s="38" t="n">
        <x:v>43397</x:v>
      </x:c>
      <x:c r="H268" s="38" t="n">
        <x:v>43397</x:v>
      </x:c>
      <x:c r="I268" s="40" t="n">
        <x:v>5</x:v>
      </x:c>
      <x:c r="J268" s="33" t="str"/>
      <x:c r="K268" s="33" t="str"/>
      <x:c r="L268" s="33" t="str"/>
      <x:c r="M268" s="33" t="str">
        <x:v>(71) Saône-et-Loire</x:v>
      </x:c>
      <x:c r="N268" s="33" t="str">
        <x:v>Oui</x:v>
      </x:c>
      <x:c r="O268" s="33" t="str">
        <x:v>data.gouv.fr_aife</x:v>
      </x:c>
      <x:c r="P268" s="33" t="str">
        <x:v>2018150903139900</x:v>
      </x:c>
    </x:row>
    <x:row r="269">
      <x:c r="A269" s="33" t="str">
        <x:v>2018130013885200</x:v>
      </x:c>
      <x:c r="B269" s="33" t="str">
        <x:v>MINARM / SCA / PFC Sud - Plate-forme commissariat Sud (Toulon)</x:v>
      </x:c>
      <x:c r="C269" s="33" t="str">
        <x:v>AU VIEUX CAMPEUR PARIS DE RORTHAYS &amp; CIE</x:v>
      </x:c>
      <x:c r="D269" s="33" t="str">
        <x:v>Fourniture de matériels et de vêtements techniques de sport de montagne au profit du centre de montagne air (CMA) de Ancelles (6 lots). - Fourniture de : Ski - Surf - Télémarrk - Ski de fond - Ski de randonnée - Matériels d'entretien associés</x:v>
      </x:c>
      <x:c r="E269" s="33" t="str">
        <x:v>Articles et équipements de sport.</x:v>
      </x:c>
      <x:c r="F269" s="36" t="n">
        <x:v>14000</x:v>
      </x:c>
      <x:c r="G269" s="38" t="n">
        <x:v>43397</x:v>
      </x:c>
      <x:c r="H269" s="38" t="n">
        <x:v>43397</x:v>
      </x:c>
      <x:c r="I269" s="40" t="n">
        <x:v>48</x:v>
      </x:c>
      <x:c r="J269" s="33" t="str">
        <x:v>Accord-cadre</x:v>
      </x:c>
      <x:c r="K269" s="33" t="str">
        <x:v>Appel d'offres ouvert</x:v>
      </x:c>
      <x:c r="L269" s="33" t="str">
        <x:v>Révisable</x:v>
      </x:c>
      <x:c r="M269" s="33" t="str">
        <x:v>(05) Hautes-Alpes</x:v>
      </x:c>
      <x:c r="N269" s="33" t="str">
        <x:v>Oui</x:v>
      </x:c>
      <x:c r="O269" s="33" t="str">
        <x:v>data.gouv.fr_aife</x:v>
      </x:c>
      <x:c r="P269" s="33" t="str">
        <x:v>2018130013885200</x:v>
      </x:c>
    </x:row>
    <x:row r="270">
      <x:c r="A270" s="33" t="str">
        <x:v>2018170008972600</x:v>
      </x:c>
      <x:c r="B270" s="33" t="str">
        <x:v>MINARM / SGA / SPAC - Service Parisien de Soutien de l'Administration Centrale - SPAC</x:v>
      </x:c>
      <x:c r="C270" s="33" t="str">
        <x:v>LUMIERE &amp; SON - PARIS</x:v>
      </x:c>
      <x:c r="D270" s="33" t="str">
        <x:v>Location d'équipements, fournitures et prestations de services pour l'organisation d'événements (hors cérémonies commémoratives) au profit du ministre des armées et du secrétaire d'état auprès du ministre des armées pour la période 2018 à 2022 - Locatio...</x:v>
      </x:c>
      <x:c r="E270" s="33" t="str">
        <x:v>Services d'organisation d'évènements .</x:v>
      </x:c>
      <x:c r="F270" s="36" t="n">
        <x:v>76320</x:v>
      </x:c>
      <x:c r="G270" s="38" t="n">
        <x:v>43397</x:v>
      </x:c>
      <x:c r="H270" s="38" t="n">
        <x:v>43397</x:v>
      </x:c>
      <x:c r="I270" s="40" t="n">
        <x:v>48</x:v>
      </x:c>
      <x:c r="J270" s="33" t="str"/>
      <x:c r="K270" s="33" t="str"/>
      <x:c r="L270" s="33" t="str"/>
      <x:c r="M270" s="33" t="str">
        <x:v>(75) Paris</x:v>
      </x:c>
      <x:c r="N270" s="33" t="str">
        <x:v>Oui</x:v>
      </x:c>
      <x:c r="O270" s="33" t="str">
        <x:v>data.gouv.fr_aife</x:v>
      </x:c>
      <x:c r="P270" s="33" t="str">
        <x:v>2018170008972600</x:v>
      </x:c>
    </x:row>
    <x:row r="271">
      <x:c r="A271" s="33" t="str">
        <x:v>2018170008976100</x:v>
      </x:c>
      <x:c r="B271" s="33" t="str">
        <x:v>MINARM / SGA / SPAC - Service Parisien de Soutien de l'Administration Centrale - SPAC</x:v>
      </x:c>
      <x:c r="C271" s="33" t="str">
        <x:v>SURETECH SOLUTIONS</x:v>
      </x:c>
      <x:c r="D271" s="33" t="str">
        <x:v>Location d'équipements, fournitures et prestations de services pour l'organisation d'événements (hors cérémonies commémoratives) au profit du ministre des armées et du secrétaire d'état auprès du ministre des armées pour la période 2018 à 2022 - Locatio...</x:v>
      </x:c>
      <x:c r="E271" s="33" t="str">
        <x:v>Services d'organisation d'évènements .</x:v>
      </x:c>
      <x:c r="F271" s="36" t="n">
        <x:v>60000</x:v>
      </x:c>
      <x:c r="G271" s="38" t="n">
        <x:v>43397</x:v>
      </x:c>
      <x:c r="H271" s="38" t="n">
        <x:v>43397</x:v>
      </x:c>
      <x:c r="I271" s="40" t="n">
        <x:v>48</x:v>
      </x:c>
      <x:c r="J271" s="33" t="str"/>
      <x:c r="K271" s="33" t="str"/>
      <x:c r="L271" s="33" t="str"/>
      <x:c r="M271" s="33" t="str">
        <x:v>(75) Paris</x:v>
      </x:c>
      <x:c r="N271" s="33" t="str">
        <x:v>Oui</x:v>
      </x:c>
      <x:c r="O271" s="33" t="str">
        <x:v>data.gouv.fr_aife</x:v>
      </x:c>
      <x:c r="P271" s="33" t="str">
        <x:v>2018170008976100</x:v>
      </x:c>
    </x:row>
    <x:row r="272">
      <x:c r="A272" s="33" t="str">
        <x:v>20182018F4109800</x:v>
      </x:c>
      <x:c r="B272" s="33" t="str">
        <x:v>MINARM / SCA / PFC RBT - Plate-forme commissariat Rambouillet</x:v>
      </x:c>
      <x:c r="C272" s="33" t="str">
        <x:v>SIOEN FRANCE</x:v>
      </x:c>
      <x:c r="D272" s="33" t="str">
        <x:v>Fabrication de combinaisons thermostables "marine nationale" et "gendarmerie maritime", pochettes et sangles pour complétifs de combat.</x:v>
      </x:c>
      <x:c r="E272" s="33" t="str">
        <x:v>Combinaisons.</x:v>
      </x:c>
      <x:c r="F272" s="36" t="n">
        <x:v>33000000</x:v>
      </x:c>
      <x:c r="G272" s="38" t="n">
        <x:v>43397</x:v>
      </x:c>
      <x:c r="H272" s="38" t="n">
        <x:v>43397</x:v>
      </x:c>
      <x:c r="I272" s="40" t="n">
        <x:v>84</x:v>
      </x:c>
      <x:c r="J272" s="33" t="str">
        <x:v>Accord-cadre</x:v>
      </x:c>
      <x:c r="K272" s="33" t="str"/>
      <x:c r="L272" s="33" t="str"/>
      <x:c r="M272" s="33" t="str">
        <x:v>(78) Yvelines</x:v>
      </x:c>
      <x:c r="N272" s="33" t="str">
        <x:v>Oui</x:v>
      </x:c>
      <x:c r="O272" s="33" t="str">
        <x:v>data.gouv.fr_aife</x:v>
      </x:c>
      <x:c r="P272" s="33" t="str">
        <x:v>20182018F4109800</x:v>
      </x:c>
    </x:row>
    <x:row r="273">
      <x:c r="A273" s="33" t="str">
        <x:v>2018150905409100</x:v>
      </x:c>
      <x:c r="B273" s="33" t="str">
        <x:v>MINARM / SSF / DSSF Brest - Direction du service de soutien de la flotte de Brest - DSSF Brest</x:v>
      </x:c>
      <x:c r="C273" s="33" t="str">
        <x:v>TRIPARTITE</x:v>
      </x:c>
      <x:c r="D273" s="33" t="str">
        <x:v>Approvisionnement d’un coupe orins à couteaux pour arbre de marque Maucour ou équivalent au profit des bâtiments de la Marine Nationale</x:v>
      </x:c>
      <x:c r="E273" s="33" t="str">
        <x:v>Pièces de rechange pour coque et pièces mécaniques pour navires de guerre.</x:v>
      </x:c>
      <x:c r="F273" s="36" t="n">
        <x:v>1030</x:v>
      </x:c>
      <x:c r="G273" s="38" t="n">
        <x:v>43397</x:v>
      </x:c>
      <x:c r="H273" s="38" t="n">
        <x:v>43397</x:v>
      </x:c>
      <x:c r="I273" s="40" t="n">
        <x:v>1</x:v>
      </x:c>
      <x:c r="J273" s="33" t="str">
        <x:v>Marché</x:v>
      </x:c>
      <x:c r="K273" s="33" t="str">
        <x:v>Procédure adaptée</x:v>
      </x:c>
      <x:c r="L273" s="33" t="str">
        <x:v>Ferme</x:v>
      </x:c>
      <x:c r="M273" s="33" t="str">
        <x:v>(29) Finistère</x:v>
      </x:c>
      <x:c r="N273" s="33" t="str">
        <x:v>Oui</x:v>
      </x:c>
      <x:c r="O273" s="33" t="str">
        <x:v>data.gouv.fr_aife</x:v>
      </x:c>
      <x:c r="P273" s="33" t="str">
        <x:v>2018150905409100</x:v>
      </x:c>
    </x:row>
    <x:row r="274">
      <x:c r="A274" s="33" t="str">
        <x:v>2018100013109100</x:v>
      </x:c>
      <x:c r="B274" s="33" t="str">
        <x:v>MINARM / SSF / DSSF Toulon - Direction du service de soutien de la flotte de Toulon - DSSF Toulon</x:v>
      </x:c>
      <x:c r="C274" s="33" t="str">
        <x:v>LOGNAV-CM</x:v>
      </x:c>
      <x:c r="D274" s="33" t="str">
        <x:v>AC 2015M15T20 052 relatif à l’approvisionnement de matériels de filtration pour le maintien en condition opérationnelle (MCO) des Eléments de Force Maritime (EFM) et des Eléments de Force Armées (EFA). -</x:v>
      </x:c>
      <x:c r="E274" s="33" t="str">
        <x:v>Filtres à huile, filtres à essence et filtres à air.</x:v>
      </x:c>
      <x:c r="F274" s="36" t="n">
        <x:v>12165</x:v>
      </x:c>
      <x:c r="G274" s="38" t="n">
        <x:v>43397</x:v>
      </x:c>
      <x:c r="H274" s="38" t="n">
        <x:v>43397</x:v>
      </x:c>
      <x:c r="I274" s="40" t="n">
        <x:v>3</x:v>
      </x:c>
      <x:c r="J274" s="33" t="str"/>
      <x:c r="K274" s="33" t="str"/>
      <x:c r="L274" s="33" t="str"/>
      <x:c r="M274" s="33" t="str">
        <x:v>(83) Var</x:v>
      </x:c>
      <x:c r="N274" s="33" t="str">
        <x:v>Oui</x:v>
      </x:c>
      <x:c r="O274" s="33" t="str">
        <x:v>data.gouv.fr_aife</x:v>
      </x:c>
      <x:c r="P274" s="33" t="str">
        <x:v>2018100013109100</x:v>
      </x:c>
    </x:row>
    <x:row r="275">
      <x:c r="A275" s="33" t="str">
        <x:v>20182018S5012100</x:v>
      </x:c>
      <x:c r="B275" s="33" t="str">
        <x:v>MINARM / ESTM / EPA / ONAC - Office National des Anciens Combattants et victimes de guerre</x:v>
      </x:c>
      <x:c r="C275" s="33" t="str">
        <x:v>IDVERDE</x:v>
      </x:c>
      <x:c r="D275" s="33" t="str">
        <x:v>Entretien des espaces verts des nécropoles nationales et des carrés militaires - 2018019POL - Entretien des espaces verts de nécropoles nationales de l'Aisne</x:v>
      </x:c>
      <x:c r="E275" s="33" t="str">
        <x:v>Réalisation et entretien d'espaces verts.</x:v>
      </x:c>
      <x:c r="F275" s="36" t="n">
        <x:v>54111</x:v>
      </x:c>
      <x:c r="G275" s="38" t="n">
        <x:v>43397</x:v>
      </x:c>
      <x:c r="H275" s="38" t="n">
        <x:v>43397</x:v>
      </x:c>
      <x:c r="I275" s="40" t="n">
        <x:v>48</x:v>
      </x:c>
      <x:c r="J275" s="33" t="str">
        <x:v>Accord-cadre</x:v>
      </x:c>
      <x:c r="K275" s="33" t="str">
        <x:v>Appel d'offres ouvert</x:v>
      </x:c>
      <x:c r="L275" s="33" t="str">
        <x:v>Révisable</x:v>
      </x:c>
      <x:c r="M275" s="33" t="str">
        <x:v>(54) Meurthe-et-Moselle</x:v>
      </x:c>
      <x:c r="N275" s="33" t="str">
        <x:v>Oui</x:v>
      </x:c>
      <x:c r="O275" s="33" t="str">
        <x:v>data.gouv.fr_aife</x:v>
      </x:c>
      <x:c r="P275" s="33" t="str">
        <x:v>20182018S5012100</x:v>
      </x:c>
    </x:row>
    <x:row r="276">
      <x:c r="A276" s="33" t="str">
        <x:v>2018100013099300</x:v>
      </x:c>
      <x:c r="B276" s="33" t="str">
        <x:v>MINARM / SCA / DICOM FAZSOI et GSBdD REUNION-MAYOTTE - Direction du Commissariat Outre-Mer FAZSOI et groupement de soutien de la Base de Défense Réunion-Mayotte</x:v>
      </x:c>
      <x:c r="C276" s="33" t="str">
        <x:v>UNIMAR</x:v>
      </x:c>
      <x:c r="D276" s="33" t="str">
        <x:v>fourniture et livraison de matériel nautique au profit des forces armées dans la zone sud de locéan Indien (FAZSOI) stationnées à La Réunion et à Mayotte. - Remorque pour flotteur 15 hommes</x:v>
      </x:c>
      <x:c r="E276" s="33" t="str">
        <x:v>Remorques.</x:v>
      </x:c>
      <x:c r="F276" s="36" t="n">
        <x:v>4950</x:v>
      </x:c>
      <x:c r="G276" s="38" t="n">
        <x:v>43397</x:v>
      </x:c>
      <x:c r="H276" s="38" t="n">
        <x:v>43397</x:v>
      </x:c>
      <x:c r="I276" s="40" t="n">
        <x:v>5</x:v>
      </x:c>
      <x:c r="J276" s="33" t="str"/>
      <x:c r="K276" s="33" t="str"/>
      <x:c r="L276" s="33" t="str"/>
      <x:c r="M276" s="33" t="str">
        <x:v>(976) Mayotte</x:v>
      </x:c>
      <x:c r="N276" s="33" t="str">
        <x:v>Oui</x:v>
      </x:c>
      <x:c r="O276" s="33" t="str">
        <x:v>data.gouv.fr_aife</x:v>
      </x:c>
      <x:c r="P276" s="33" t="str">
        <x:v>2018100013099300</x:v>
      </x:c>
    </x:row>
    <x:row r="277">
      <x:c r="A277" s="33" t="str">
        <x:v>2018100013107500</x:v>
      </x:c>
      <x:c r="B277" s="33" t="str">
        <x:v>MINARM / SCA / DICOM FAZSOI et GSBdD REUNION-MAYOTTE - Direction du Commissariat Outre-Mer FAZSOI et groupement de soutien de la Base de Défense Réunion-Mayotte</x:v>
      </x:c>
      <x:c r="C277" s="33" t="str">
        <x:v>UNIMAR</x:v>
      </x:c>
      <x:c r="D277" s="33" t="str">
        <x:v>fourniture et livraison de matériel nautique au profit des forces armées dans la zone sud de locéan Indien (FAZSOI) stationnées à La Réunion et à Mayotte. - Embarcation de type zodiac 15 hommes ou équivalent</x:v>
      </x:c>
      <x:c r="E277" s="33" t="str">
        <x:v>Embarcations pneumatiques.</x:v>
      </x:c>
      <x:c r="F277" s="36" t="n">
        <x:v>39972</x:v>
      </x:c>
      <x:c r="G277" s="38" t="n">
        <x:v>43397</x:v>
      </x:c>
      <x:c r="H277" s="38" t="n">
        <x:v>43397</x:v>
      </x:c>
      <x:c r="I277" s="40" t="n">
        <x:v>5</x:v>
      </x:c>
      <x:c r="J277" s="33" t="str"/>
      <x:c r="K277" s="33" t="str"/>
      <x:c r="L277" s="33" t="str"/>
      <x:c r="M277" s="33" t="str">
        <x:v>(976) Mayotte</x:v>
      </x:c>
      <x:c r="N277" s="33" t="str">
        <x:v>Oui</x:v>
      </x:c>
      <x:c r="O277" s="33" t="str">
        <x:v>data.gouv.fr_aife</x:v>
      </x:c>
      <x:c r="P277" s="33" t="str">
        <x:v>2018100013107500</x:v>
      </x:c>
    </x:row>
    <x:row r="278">
      <x:c r="A278" s="33" t="str">
        <x:v>2018130013869900</x:v>
      </x:c>
      <x:c r="B278" s="33" t="str">
        <x:v>MINARM / SCA / PFC Sud - Plate-forme commissariat Sud (Toulon)</x:v>
      </x:c>
      <x:c r="C278" s="33" t="str">
        <x:v>K S M</x:v>
      </x:c>
      <x:c r="D278" s="33" t="str">
        <x:v>Maintenance corrective de matériel de nettoyage (auto laveuses, réchauffeur d'eau, nettoyeurs haute pression et aspirateurs eau et poussière) de marque karcher</x:v>
      </x:c>
      <x:c r="E278" s="33" t="str">
        <x:v>Services de réparation et d'entretien de machines.</x:v>
      </x:c>
      <x:c r="F278" s="36" t="n">
        <x:v>54649</x:v>
      </x:c>
      <x:c r="G278" s="38" t="n">
        <x:v>43397</x:v>
      </x:c>
      <x:c r="H278" s="38" t="n">
        <x:v>43397</x:v>
      </x:c>
      <x:c r="I278" s="40" t="n">
        <x:v>48</x:v>
      </x:c>
      <x:c r="J278" s="33" t="str">
        <x:v>Accord-cadre</x:v>
      </x:c>
      <x:c r="K278" s="33" t="str">
        <x:v>Appel d'offres ouvert</x:v>
      </x:c>
      <x:c r="L278" s="33" t="str">
        <x:v>Révisable</x:v>
      </x:c>
      <x:c r="M278" s="33" t="str">
        <x:v>(83) Var</x:v>
      </x:c>
      <x:c r="N278" s="33" t="str">
        <x:v>Oui</x:v>
      </x:c>
      <x:c r="O278" s="33" t="str">
        <x:v>data.gouv.fr_aife</x:v>
      </x:c>
      <x:c r="P278" s="33" t="str">
        <x:v>2018130013869900</x:v>
      </x:c>
    </x:row>
    <x:row r="279">
      <x:c r="A279" s="33" t="str">
        <x:v>20181372000</x:v>
      </x:c>
      <x:c r="B279" s="33" t="str">
        <x:v>MINARM / SCA / PFC RBT - Plate-forme commissariat Rambouillet</x:v>
      </x:c>
      <x:c r="C279" s="33" t="str">
        <x:v>SEYNTEX SA</x:v>
      </x:c>
      <x:c r="D279" s="33" t="str">
        <x:v>Fabrication de combinaisons thermostables « marine nationale » et « gendarmerie maritime » (Lot 1)</x:v>
      </x:c>
      <x:c r="E279" s="33" t="str">
        <x:v>Combinaisons.</x:v>
      </x:c>
      <x:c r="F279" s="36" t="n">
        <x:v>36825600</x:v>
      </x:c>
      <x:c r="G279" s="38" t="n">
        <x:v>43397</x:v>
      </x:c>
      <x:c r="H279" s="38" t="n">
        <x:v>43397</x:v>
      </x:c>
      <x:c r="I279" s="40" t="n">
        <x:v>84</x:v>
      </x:c>
      <x:c r="J279" s="33" t="str">
        <x:v>Accord-cadre</x:v>
      </x:c>
      <x:c r="K279" s="33" t="str">
        <x:v>Appel d'offres restreint</x:v>
      </x:c>
      <x:c r="L279" s="33" t="str"/>
      <x:c r="M279" s="33" t="str">
        <x:v>(78) Yvelines</x:v>
      </x:c>
      <x:c r="N279" s="33" t="str">
        <x:v>Oui</x:v>
      </x:c>
      <x:c r="O279" s="33" t="str">
        <x:v>data.gouv.fr_aife</x:v>
      </x:c>
      <x:c r="P279" s="33" t="str">
        <x:v>20181372000</x:v>
      </x:c>
    </x:row>
    <x:row r="280">
      <x:c r="A280" s="33" t="str">
        <x:v>20181372200</x:v>
      </x:c>
      <x:c r="B280" s="33" t="str">
        <x:v>MINARM / SCA / PFC RBT - Plate-forme commissariat Rambouillet</x:v>
      </x:c>
      <x:c r="C280" s="33" t="str">
        <x:v>SIOEN FRANCE</x:v>
      </x:c>
      <x:c r="D280" s="33" t="str">
        <x:v>Fabrication de combinaisons thermostables « marine nationale » et « gendarmerie maritime » (Lot 1)</x:v>
      </x:c>
      <x:c r="E280" s="33" t="str">
        <x:v>Combinaisons.</x:v>
      </x:c>
      <x:c r="F280" s="36" t="n">
        <x:v>36825600</x:v>
      </x:c>
      <x:c r="G280" s="38" t="n">
        <x:v>43397</x:v>
      </x:c>
      <x:c r="H280" s="38" t="n">
        <x:v>43397</x:v>
      </x:c>
      <x:c r="I280" s="40" t="n">
        <x:v>84</x:v>
      </x:c>
      <x:c r="J280" s="33" t="str">
        <x:v>Accord-cadre</x:v>
      </x:c>
      <x:c r="K280" s="33" t="str">
        <x:v>Appel d'offres restreint</x:v>
      </x:c>
      <x:c r="L280" s="33" t="str"/>
      <x:c r="M280" s="33" t="str">
        <x:v>(78) Yvelines</x:v>
      </x:c>
      <x:c r="N280" s="33" t="str">
        <x:v>Oui</x:v>
      </x:c>
      <x:c r="O280" s="33" t="str">
        <x:v>data.gouv.fr_aife</x:v>
      </x:c>
      <x:c r="P280" s="33" t="str">
        <x:v>20181372200</x:v>
      </x:c>
    </x:row>
    <x:row r="281">
      <x:c r="A281" s="33" t="str">
        <x:v>20182018S0004600</x:v>
      </x:c>
      <x:c r="B281" s="33" t="str">
        <x:v>MINARM / ESTM / EPA / ONAC - Office National des Anciens Combattants et victimes de guerre</x:v>
      </x:c>
      <x:c r="C281" s="33" t="str">
        <x:v>CARRE VERT PAYSAGE</x:v>
      </x:c>
      <x:c r="D281" s="33" t="str">
        <x:v>Entretien des espaces verts des nécropoles nationales et des carrés militaires - 2018009POL - Entretien des espaces verts de la nécropole nationale de Rétaud</x:v>
      </x:c>
      <x:c r="E281" s="33" t="str">
        <x:v>Réalisation et entretien d'espaces verts.</x:v>
      </x:c>
      <x:c r="F281" s="36" t="n">
        <x:v>16449</x:v>
      </x:c>
      <x:c r="G281" s="38" t="n">
        <x:v>43397</x:v>
      </x:c>
      <x:c r="H281" s="38" t="n">
        <x:v>43397</x:v>
      </x:c>
      <x:c r="I281" s="40" t="n">
        <x:v>48</x:v>
      </x:c>
      <x:c r="J281" s="33" t="str">
        <x:v>Accord-cadre</x:v>
      </x:c>
      <x:c r="K281" s="33" t="str">
        <x:v>Appel d'offres ouvert</x:v>
      </x:c>
      <x:c r="L281" s="33" t="str">
        <x:v>Révisable</x:v>
      </x:c>
      <x:c r="M281" s="33" t="str">
        <x:v>(54) Meurthe-et-Moselle</x:v>
      </x:c>
      <x:c r="N281" s="33" t="str">
        <x:v>Oui</x:v>
      </x:c>
      <x:c r="O281" s="33" t="str">
        <x:v>data.gouv.fr_aife</x:v>
      </x:c>
      <x:c r="P281" s="33" t="str">
        <x:v>20182018S0004600</x:v>
      </x:c>
    </x:row>
    <x:row r="282">
      <x:c r="A282" s="33" t="str">
        <x:v>2018100013134000</x:v>
      </x:c>
      <x:c r="B282" s="33" t="str">
        <x:v>MINARM / SGA / SID / ESID Toulon - Etablissement du service d'infrastructure de la défense de Toulon - ESID Toulon</x:v>
      </x:c>
      <x:c r="C282" s="33" t="str">
        <x:v>CEGELEC DEFENSE ET NAVAL SUD-EST</x:v>
      </x:c>
      <x:c r="D282" s="33" t="str">
        <x:v>Base navale de Toulon - ALAVIA - Protection de 3 locaux.- MS n°24 à l'AC 17-DC-1001 -</x:v>
      </x:c>
      <x:c r="E282" s="33" t="str">
        <x:v>Travaux d'installation de clôtures, de garde-corps et de dispositifs de sécurité.</x:v>
      </x:c>
      <x:c r="F282" s="36" t="n">
        <x:v>61547</x:v>
      </x:c>
      <x:c r="G282" s="38" t="n">
        <x:v>43397</x:v>
      </x:c>
      <x:c r="H282" s="38" t="n">
        <x:v>43397</x:v>
      </x:c>
      <x:c r="I282" s="40" t="n">
        <x:v>6</x:v>
      </x:c>
      <x:c r="J282" s="33" t="str">
        <x:v>Marché subséquent</x:v>
      </x:c>
      <x:c r="K282" s="33" t="str">
        <x:v>Appel d'offres ouvert</x:v>
      </x:c>
      <x:c r="L282" s="33" t="str">
        <x:v>Révisable</x:v>
      </x:c>
      <x:c r="M282" s="33" t="str">
        <x:v>(83) Var</x:v>
      </x:c>
      <x:c r="N282" s="33" t="str">
        <x:v>Oui</x:v>
      </x:c>
      <x:c r="O282" s="33" t="str">
        <x:v>data.gouv.fr_aife</x:v>
      </x:c>
      <x:c r="P282" s="33" t="str">
        <x:v>2018100013134000</x:v>
      </x:c>
    </x:row>
    <x:row r="283">
      <x:c r="A283" s="33" t="str">
        <x:v>2018130013868600</x:v>
      </x:c>
      <x:c r="B283" s="33" t="str">
        <x:v>MINARM / SCA / PFC Sud - Plate-forme commissariat Sud (Toulon)</x:v>
      </x:c>
      <x:c r="C283" s="33" t="str">
        <x:v>AU VIEUX CAMPEUR PARIS DE RORTHAYS &amp; CIE</x:v>
      </x:c>
      <x:c r="D283" s="33" t="str">
        <x:v>Fourniture de matériels et de vêtements techniques de sport de montagne au profit du centre de montagne air (CMA) de Ancelles (6 lots). - Fourniture de matériels de sécurité</x:v>
      </x:c>
      <x:c r="E283" s="33" t="str">
        <x:v>Articles et équipements de sport.</x:v>
      </x:c>
      <x:c r="F283" s="36" t="n">
        <x:v>1200</x:v>
      </x:c>
      <x:c r="G283" s="38" t="n">
        <x:v>43397</x:v>
      </x:c>
      <x:c r="H283" s="38" t="n">
        <x:v>43397</x:v>
      </x:c>
      <x:c r="I283" s="40" t="n">
        <x:v>48</x:v>
      </x:c>
      <x:c r="J283" s="33" t="str">
        <x:v>Accord-cadre</x:v>
      </x:c>
      <x:c r="K283" s="33" t="str">
        <x:v>Appel d'offres ouvert</x:v>
      </x:c>
      <x:c r="L283" s="33" t="str">
        <x:v>Révisable</x:v>
      </x:c>
      <x:c r="M283" s="33" t="str">
        <x:v>(05) Hautes-Alpes</x:v>
      </x:c>
      <x:c r="N283" s="33" t="str">
        <x:v>Oui</x:v>
      </x:c>
      <x:c r="O283" s="33" t="str">
        <x:v>data.gouv.fr_aife</x:v>
      </x:c>
      <x:c r="P283" s="33" t="str">
        <x:v>2018130013868600</x:v>
      </x:c>
    </x:row>
    <x:row r="284">
      <x:c r="A284" s="33" t="str">
        <x:v>2018130013873800</x:v>
      </x:c>
      <x:c r="B284" s="33" t="str">
        <x:v>MINARM / SCA / PFC Sud - Plate-forme commissariat Sud (Toulon)</x:v>
      </x:c>
      <x:c r="C284" s="33" t="str">
        <x:v>AU VIEUX CAMPEUR PARIS DE RORTHAYS &amp; CIE</x:v>
      </x:c>
      <x:c r="D284" s="33" t="str">
        <x:v>Fourniture de matériels et de vêtements techniques de sport de montagne au profit du centre de montagne air (CMA) de Ancelles (6 lots). - fourniture de matériels techniques de montagne</x:v>
      </x:c>
      <x:c r="E284" s="33" t="str">
        <x:v>Articles et équipements de sport.</x:v>
      </x:c>
      <x:c r="F284" s="36" t="n">
        <x:v>1200</x:v>
      </x:c>
      <x:c r="G284" s="38" t="n">
        <x:v>43397</x:v>
      </x:c>
      <x:c r="H284" s="38" t="n">
        <x:v>43397</x:v>
      </x:c>
      <x:c r="I284" s="40" t="n">
        <x:v>48</x:v>
      </x:c>
      <x:c r="J284" s="33" t="str">
        <x:v>Accord-cadre</x:v>
      </x:c>
      <x:c r="K284" s="33" t="str">
        <x:v>Appel d'offres ouvert</x:v>
      </x:c>
      <x:c r="L284" s="33" t="str">
        <x:v>Révisable</x:v>
      </x:c>
      <x:c r="M284" s="33" t="str">
        <x:v>(05) Hautes-Alpes</x:v>
      </x:c>
      <x:c r="N284" s="33" t="str">
        <x:v>Oui</x:v>
      </x:c>
      <x:c r="O284" s="33" t="str">
        <x:v>data.gouv.fr_aife</x:v>
      </x:c>
      <x:c r="P284" s="33" t="str">
        <x:v>2018130013873800</x:v>
      </x:c>
    </x:row>
    <x:row r="285">
      <x:c r="A285" s="33" t="str">
        <x:v>2018170008974200</x:v>
      </x:c>
      <x:c r="B285" s="33" t="str">
        <x:v>MINARM / SGA / SPAC - Service Parisien de Soutien de l'Administration Centrale - SPAC</x:v>
      </x:c>
      <x:c r="C285" s="33" t="str">
        <x:v>HEXACTITUDE</x:v>
      </x:c>
      <x:c r="D285" s="33" t="str">
        <x:v>Location d'équipements, fournitures et prestations de services pour l'organisation d'événements (hors cérémonies commémoratives) au profit du ministre des armées et du secrétaire d'état auprès du ministre des armées pour la période 2018 à 2022 - LOT 1 :...</x:v>
      </x:c>
      <x:c r="E285" s="33" t="str">
        <x:v>Services d'organisation d'évènements .</x:v>
      </x:c>
      <x:c r="F285" s="36" t="n">
        <x:v>595038</x:v>
      </x:c>
      <x:c r="G285" s="38" t="n">
        <x:v>43397</x:v>
      </x:c>
      <x:c r="H285" s="38" t="n">
        <x:v>43397</x:v>
      </x:c>
      <x:c r="I285" s="40" t="n">
        <x:v>48</x:v>
      </x:c>
      <x:c r="J285" s="33" t="str"/>
      <x:c r="K285" s="33" t="str"/>
      <x:c r="L285" s="33" t="str"/>
      <x:c r="M285" s="33" t="str">
        <x:v>(75) Paris</x:v>
      </x:c>
      <x:c r="N285" s="33" t="str">
        <x:v>Oui</x:v>
      </x:c>
      <x:c r="O285" s="33" t="str">
        <x:v>data.gouv.fr_aife</x:v>
      </x:c>
      <x:c r="P285" s="33" t="str">
        <x:v>2018170008974200</x:v>
      </x:c>
    </x:row>
    <x:row r="286">
      <x:c r="A286" s="33" t="str">
        <x:v>2018100013138100</x:v>
      </x:c>
      <x:c r="B286" s="33" t="str">
        <x:v>MINARM / SSF / DSSF Toulon - Direction du service de soutien de la flotte de Toulon - DSSF Toulon</x:v>
      </x:c>
      <x:c r="C286" s="33" t="str">
        <x:v>LE LITTORAL</x:v>
      </x:c>
      <x:c r="D286" s="33" t="str">
        <x:v>Accord cadre M16T20 014 relatif à l’approvisionnement de matériels courants de pompes et compresseurs, surpresseurs et accessoires associés pour les besoins nécessaires au maintien en condition opérationnelle (MCO) des Eléments de Force Maritime (</x:v>
      </x:c>
      <x:c r="E286" s="33" t="str">
        <x:v>Pièces pour navires de guerre.</x:v>
      </x:c>
      <x:c r="F286" s="36" t="n">
        <x:v>2457</x:v>
      </x:c>
      <x:c r="G286" s="38" t="n">
        <x:v>43397</x:v>
      </x:c>
      <x:c r="H286" s="38" t="n">
        <x:v>43397</x:v>
      </x:c>
      <x:c r="I286" s="40" t="n">
        <x:v>2</x:v>
      </x:c>
      <x:c r="J286" s="33" t="str">
        <x:v>Marché subséquent</x:v>
      </x:c>
      <x:c r="K286" s="33" t="str">
        <x:v>Appel d'offres ouvert</x:v>
      </x:c>
      <x:c r="L286" s="33" t="str">
        <x:v>Ferme et actualisable</x:v>
      </x:c>
      <x:c r="M286" s="33" t="str">
        <x:v>(83) Var</x:v>
      </x:c>
      <x:c r="N286" s="33" t="str">
        <x:v>Oui</x:v>
      </x:c>
      <x:c r="O286" s="33" t="str">
        <x:v>data.gouv.fr_aife</x:v>
      </x:c>
      <x:c r="P286" s="33" t="str">
        <x:v>2018100013138100</x:v>
      </x:c>
    </x:row>
    <x:row r="287">
      <x:c r="A287" s="33" t="str">
        <x:v>20182019S2026000</x:v>
      </x:c>
      <x:c r="B287" s="33" t="str">
        <x:v>MINARM / ESTM / EPA / Ecole Polytechnique - Ecole Polytechnique</x:v>
      </x:c>
      <x:c r="C287" s="33" t="str">
        <x:v>DIOXYGEN SOFTWARE</x:v>
      </x:c>
      <x:c r="D287" s="33" t="str">
        <x:v>Développement d’une bibliothèque de code JavaScript permettant la modélisation interactive par surfaces implicites dans un contexte de recherche</x:v>
      </x:c>
      <x:c r="E287" s="33" t="str">
        <x:v>Services informatiques.</x:v>
      </x:c>
      <x:c r="F287" s="36" t="n">
        <x:v>20000</x:v>
      </x:c>
      <x:c r="G287" s="38" t="n">
        <x:v>43397</x:v>
      </x:c>
      <x:c r="H287" s="38" t="n">
        <x:v>43397</x:v>
      </x:c>
      <x:c r="I287" s="40" t="n">
        <x:v>1</x:v>
      </x:c>
      <x:c r="J287" s="33" t="str">
        <x:v>Marché</x:v>
      </x:c>
      <x:c r="K287" s="33" t="str">
        <x:v>Procédure adaptée</x:v>
      </x:c>
      <x:c r="L287" s="33" t="str">
        <x:v>Ferme</x:v>
      </x:c>
      <x:c r="M287" s="33" t="str">
        <x:v>(91) Essonne</x:v>
      </x:c>
      <x:c r="N287" s="33" t="str">
        <x:v>Oui</x:v>
      </x:c>
      <x:c r="O287" s="33" t="str">
        <x:v>data.gouv.fr_aife</x:v>
      </x:c>
      <x:c r="P287" s="33" t="str">
        <x:v>20182019S2026000</x:v>
      </x:c>
    </x:row>
    <x:row r="288">
      <x:c r="A288" s="33" t="str">
        <x:v>2018130013877900</x:v>
      </x:c>
      <x:c r="B288" s="33" t="str">
        <x:v>MINARM / SCA / PFC Sud - Plate-forme commissariat Sud (Toulon)</x:v>
      </x:c>
      <x:c r="C288" s="33" t="str">
        <x:v>AU VIEUX CAMPEUR PARIS DE RORTHAYS &amp; CIE</x:v>
      </x:c>
      <x:c r="D288" s="33" t="str">
        <x:v>Fourniture de matériels et de vêtements techniques de sport de montagne au profit du centre de montagne air (CMA) de Ancelles (6 lots). - Fourniture de chaussures</x:v>
      </x:c>
      <x:c r="E288" s="33" t="str">
        <x:v>Articles et équipements de sport.</x:v>
      </x:c>
      <x:c r="F288" s="36" t="n">
        <x:v>5800</x:v>
      </x:c>
      <x:c r="G288" s="38" t="n">
        <x:v>43397</x:v>
      </x:c>
      <x:c r="H288" s="38" t="n">
        <x:v>43397</x:v>
      </x:c>
      <x:c r="I288" s="40" t="n">
        <x:v>48</x:v>
      </x:c>
      <x:c r="J288" s="33" t="str">
        <x:v>Accord-cadre</x:v>
      </x:c>
      <x:c r="K288" s="33" t="str">
        <x:v>Appel d'offres ouvert</x:v>
      </x:c>
      <x:c r="L288" s="33" t="str">
        <x:v>Révisable</x:v>
      </x:c>
      <x:c r="M288" s="33" t="str">
        <x:v>(05) Hautes-Alpes</x:v>
      </x:c>
      <x:c r="N288" s="33" t="str">
        <x:v>Oui</x:v>
      </x:c>
      <x:c r="O288" s="33" t="str">
        <x:v>data.gouv.fr_aife</x:v>
      </x:c>
      <x:c r="P288" s="33" t="str">
        <x:v>2018130013877900</x:v>
      </x:c>
    </x:row>
    <x:row r="289">
      <x:c r="A289" s="33" t="str">
        <x:v>2018100013103900</x:v>
      </x:c>
      <x:c r="B289" s="33" t="str">
        <x:v>MINARM / DMAé / SSAM 33 504 (Beauséjour) - Structure Spécialisée d'achat et de Mandatement 33 504 (Beauséjour)</x:v>
      </x:c>
      <x:c r="C289" s="33" t="str">
        <x:v>MSA FRANCE</x:v>
      </x:c>
      <x:c r="D289" s="33" t="str">
        <x:v>la maintenance des systèmes de protection antichute à ventouses WinGrip et des accessoires associés de conception Latchways ainsi que des prestations de formation certifiante afférente au profit des unités soutenues par la DMAé</x:v>
      </x:c>
      <x:c r="E289" s="33" t="str">
        <x:v>Services de maintenance préventive.</x:v>
      </x:c>
      <x:c r="F289" s="36" t="n">
        <x:v>88890</x:v>
      </x:c>
      <x:c r="G289" s="38" t="n">
        <x:v>43397</x:v>
      </x:c>
      <x:c r="H289" s="38" t="n">
        <x:v>43397</x:v>
      </x:c>
      <x:c r="I289" s="40" t="n">
        <x:v>3</x:v>
      </x:c>
      <x:c r="J289" s="33" t="str"/>
      <x:c r="K289" s="33" t="str"/>
      <x:c r="L289" s="33" t="str"/>
      <x:c r="M289" s="33" t="str">
        <x:v>(33) Gironde</x:v>
      </x:c>
      <x:c r="N289" s="33" t="str">
        <x:v>Oui</x:v>
      </x:c>
      <x:c r="O289" s="33" t="str">
        <x:v>data.gouv.fr_aife</x:v>
      </x:c>
      <x:c r="P289" s="33" t="str">
        <x:v>2018100013103900</x:v>
      </x:c>
    </x:row>
    <x:row r="290">
      <x:c r="A290" s="33" t="str">
        <x:v>2018150902021100</x:v>
      </x:c>
      <x:c r="B290" s="33" t="str">
        <x:v>MINARM / DMAé / SSAM 33 504 (Beauséjour) - Structure Spécialisée d'achat et de Mandatement 33 504 (Beauséjour)</x:v>
      </x:c>
      <x:c r="C290" s="33" t="str">
        <x:v>CIMC AIR MARREL SAS</x:v>
      </x:c>
      <x:c r="D290" s="33" t="str">
        <x:v>Services divers d'entretien et de réparation</x:v>
      </x:c>
      <x:c r="E290" s="33" t="str">
        <x:v>Services divers d'entretien et de réparation.</x:v>
      </x:c>
      <x:c r="F290" s="36" t="n">
        <x:v>5500</x:v>
      </x:c>
      <x:c r="G290" s="38" t="n">
        <x:v>43397</x:v>
      </x:c>
      <x:c r="H290" s="38" t="n">
        <x:v>43397</x:v>
      </x:c>
      <x:c r="I290" s="40" t="n">
        <x:v>2</x:v>
      </x:c>
      <x:c r="J290" s="33" t="str"/>
      <x:c r="K290" s="33" t="str"/>
      <x:c r="L290" s="33" t="str"/>
      <x:c r="M290" s="33" t="str">
        <x:v>(33) Gironde</x:v>
      </x:c>
      <x:c r="N290" s="33" t="str">
        <x:v>Oui</x:v>
      </x:c>
      <x:c r="O290" s="33" t="str">
        <x:v>data.gouv.fr_aife</x:v>
      </x:c>
      <x:c r="P290" s="33" t="str">
        <x:v>2018150902021100</x:v>
      </x:c>
    </x:row>
    <x:row r="291">
      <x:c r="A291" s="33" t="str">
        <x:v>2018170008972700</x:v>
      </x:c>
      <x:c r="B291" s="33" t="str">
        <x:v>MINARM / SGA / SPAC - Service Parisien de Soutien de l'Administration Centrale - SPAC</x:v>
      </x:c>
      <x:c r="C291" s="33" t="str">
        <x:v>LUMIERE &amp; SON - PARIS</x:v>
      </x:c>
      <x:c r="D291" s="33" t="str">
        <x:v>Location d'équipements, fournitures et prestations de services pour l'organisation d'événements (hors cérémonies commémoratives) au profit du ministre des armées et du secrétaire d'état auprès du ministre des armées pour la période 2018 à 2022 - Locatio...</x:v>
      </x:c>
      <x:c r="E291" s="33" t="str">
        <x:v>Services d'organisation d'évènements .</x:v>
      </x:c>
      <x:c r="F291" s="36" t="n">
        <x:v>10525</x:v>
      </x:c>
      <x:c r="G291" s="38" t="n">
        <x:v>43397</x:v>
      </x:c>
      <x:c r="H291" s="38" t="n">
        <x:v>43397</x:v>
      </x:c>
      <x:c r="I291" s="40" t="n">
        <x:v>48</x:v>
      </x:c>
      <x:c r="J291" s="33" t="str"/>
      <x:c r="K291" s="33" t="str"/>
      <x:c r="L291" s="33" t="str"/>
      <x:c r="M291" s="33" t="str">
        <x:v>(75) Paris</x:v>
      </x:c>
      <x:c r="N291" s="33" t="str">
        <x:v>Oui</x:v>
      </x:c>
      <x:c r="O291" s="33" t="str">
        <x:v>data.gouv.fr_aife</x:v>
      </x:c>
      <x:c r="P291" s="33" t="str">
        <x:v>2018170008972700</x:v>
      </x:c>
    </x:row>
    <x:row r="292">
      <x:c r="A292" s="33" t="str">
        <x:v>20182018S5012000</x:v>
      </x:c>
      <x:c r="B292" s="33" t="str">
        <x:v>MINARM / ESTM / EPA / ONAC - Office National des Anciens Combattants et victimes de guerre</x:v>
      </x:c>
      <x:c r="C292" s="33" t="str">
        <x:v>Sarl ALLIANCE</x:v>
      </x:c>
      <x:c r="D292" s="33" t="str">
        <x:v>Entretien des espaces verts des nécropoles nationales et des carrés militaires - 2018010POL - Entretien des espaces verts de la nécropole nationale de Chasseneuil sur Bonnieure</x:v>
      </x:c>
      <x:c r="E292" s="33" t="str">
        <x:v>Réalisation et entretien d'espaces verts.</x:v>
      </x:c>
      <x:c r="F292" s="36" t="n">
        <x:v>34592</x:v>
      </x:c>
      <x:c r="G292" s="38" t="n">
        <x:v>43397</x:v>
      </x:c>
      <x:c r="H292" s="38" t="n">
        <x:v>43397</x:v>
      </x:c>
      <x:c r="I292" s="40" t="n">
        <x:v>48</x:v>
      </x:c>
      <x:c r="J292" s="33" t="str">
        <x:v>Accord-cadre</x:v>
      </x:c>
      <x:c r="K292" s="33" t="str">
        <x:v>Appel d'offres ouvert</x:v>
      </x:c>
      <x:c r="L292" s="33" t="str">
        <x:v>Révisable</x:v>
      </x:c>
      <x:c r="M292" s="33" t="str">
        <x:v>(54) Meurthe-et-Moselle</x:v>
      </x:c>
      <x:c r="N292" s="33" t="str">
        <x:v>Oui</x:v>
      </x:c>
      <x:c r="O292" s="33" t="str">
        <x:v>data.gouv.fr_aife</x:v>
      </x:c>
      <x:c r="P292" s="33" t="str">
        <x:v>20182018S5012000</x:v>
      </x:c>
    </x:row>
    <x:row r="293">
      <x:c r="A293" s="33" t="str">
        <x:v>20182018S5012200</x:v>
      </x:c>
      <x:c r="B293" s="33" t="str">
        <x:v>MINARM / ESTM / EPA / ONAC - Office National des Anciens Combattants et victimes de guerre</x:v>
      </x:c>
      <x:c r="C293" s="33" t="str">
        <x:v>ATENA PAYSAGE</x:v>
      </x:c>
      <x:c r="D293" s="33" t="str">
        <x:v>Entretien des espaces verts des nécropoles nationales et des carrés militaires - 2018021POL - Entretien des espaces verts de nécropoles nationales de l'Aisne</x:v>
      </x:c>
      <x:c r="E293" s="33" t="str">
        <x:v>Réalisation et entretien d'espaces verts.</x:v>
      </x:c>
      <x:c r="F293" s="36" t="n">
        <x:v>43533</x:v>
      </x:c>
      <x:c r="G293" s="38" t="n">
        <x:v>43397</x:v>
      </x:c>
      <x:c r="H293" s="38" t="n">
        <x:v>43397</x:v>
      </x:c>
      <x:c r="I293" s="40" t="n">
        <x:v>48</x:v>
      </x:c>
      <x:c r="J293" s="33" t="str">
        <x:v>Accord-cadre</x:v>
      </x:c>
      <x:c r="K293" s="33" t="str">
        <x:v>Appel d'offres ouvert</x:v>
      </x:c>
      <x:c r="L293" s="33" t="str">
        <x:v>Révisable</x:v>
      </x:c>
      <x:c r="M293" s="33" t="str">
        <x:v>(54) Meurthe-et-Moselle</x:v>
      </x:c>
      <x:c r="N293" s="33" t="str">
        <x:v>Oui</x:v>
      </x:c>
      <x:c r="O293" s="33" t="str">
        <x:v>data.gouv.fr_aife</x:v>
      </x:c>
      <x:c r="P293" s="33" t="str">
        <x:v>20182018S5012200</x:v>
      </x:c>
    </x:row>
    <x:row r="294">
      <x:c r="A294" s="33" t="str">
        <x:v>2018100013118700</x:v>
      </x:c>
      <x:c r="B294" s="33" t="str">
        <x:v>MINARM / SCA / DICOM FAZSOI et GSBdD REUNION-MAYOTTE - Direction du Commissariat Outre-Mer FAZSOI et groupement de soutien de la Base de Défense Réunion-Mayotte</x:v>
      </x:c>
      <x:c r="C294" s="33" t="str">
        <x:v>AUTHENTIQUE OCEAN</x:v>
      </x:c>
      <x:c r="D294" s="33" t="str">
        <x:v>fourniture et livraison de matériel nautique au profit des forces armées dans la zone sud de locéan Indien (FAZSOI) stationnées à La Réunion et à Mayotte. - Embarcation de type zodiac 14 hommes ou équivalent</x:v>
      </x:c>
      <x:c r="E294" s="33" t="str">
        <x:v>Embarcations pneumatiques.</x:v>
      </x:c>
      <x:c r="F294" s="36" t="n">
        <x:v>29990</x:v>
      </x:c>
      <x:c r="G294" s="38" t="n">
        <x:v>43398</x:v>
      </x:c>
      <x:c r="H294" s="38" t="n">
        <x:v>43398</x:v>
      </x:c>
      <x:c r="I294" s="40" t="n">
        <x:v>4</x:v>
      </x:c>
      <x:c r="J294" s="33" t="str"/>
      <x:c r="K294" s="33" t="str"/>
      <x:c r="L294" s="33" t="str"/>
      <x:c r="M294" s="33" t="str">
        <x:v>(976) Mayotte</x:v>
      </x:c>
      <x:c r="N294" s="33" t="str">
        <x:v>Oui</x:v>
      </x:c>
      <x:c r="O294" s="33" t="str">
        <x:v>data.gouv.fr_aife</x:v>
      </x:c>
      <x:c r="P294" s="33" t="str">
        <x:v>2018100013118700</x:v>
      </x:c>
    </x:row>
    <x:row r="295">
      <x:c r="A295" s="33" t="str">
        <x:v>2018150906580800</x:v>
      </x:c>
      <x:c r="B295" s="33" t="str">
        <x:v>MINARM / SGA / SPAC - Service Parisien de Soutien de l'Administration Centrale - SPAC</x:v>
      </x:c>
      <x:c r="C295" s="33" t="str">
        <x:v>AGENCE DE RECHERCHE PROMOTIONNELLE</x:v>
      </x:c>
      <x:c r="D295" s="33" t="str">
        <x:v>Organisation et réalisation d'un séminaire annuel au profit des chefs de bureau de l'état-major de l'armée de terre (EMAT) (hébergement, restauration, location de salle, prestations techniques associées, activité culturelle de cohésion).</x:v>
      </x:c>
      <x:c r="E295" s="33" t="str">
        <x:v>Services d'organisation d'évènements .</x:v>
      </x:c>
      <x:c r="F295" s="36" t="n">
        <x:v>58876</x:v>
      </x:c>
      <x:c r="G295" s="38" t="n">
        <x:v>43398</x:v>
      </x:c>
      <x:c r="H295" s="38" t="n">
        <x:v>43398</x:v>
      </x:c>
      <x:c r="I295" s="40" t="n">
        <x:v>1</x:v>
      </x:c>
      <x:c r="J295" s="33" t="str">
        <x:v>Marché</x:v>
      </x:c>
      <x:c r="K295" s="33" t="str">
        <x:v>Procédure adaptée</x:v>
      </x:c>
      <x:c r="L295" s="33" t="str">
        <x:v>Ferme</x:v>
      </x:c>
      <x:c r="M295" s="33" t="str">
        <x:v>(62) Pas-de-Calais</x:v>
      </x:c>
      <x:c r="N295" s="33" t="str">
        <x:v>Oui</x:v>
      </x:c>
      <x:c r="O295" s="33" t="str">
        <x:v>data.gouv.fr_aife</x:v>
      </x:c>
      <x:c r="P295" s="33" t="str">
        <x:v>2018150906580800</x:v>
      </x:c>
    </x:row>
    <x:row r="296">
      <x:c r="A296" s="33" t="str">
        <x:v>2018150905408300</x:v>
      </x:c>
      <x:c r="B296" s="33" t="str">
        <x:v>MINARM / SSF / DSSF Brest - Direction du service de soutien de la flotte de Brest - DSSF Brest</x:v>
      </x:c>
      <x:c r="C296" s="33" t="str">
        <x:v>LOGNAV-CM</x:v>
      </x:c>
      <x:c r="D296" s="33" t="str">
        <x:v>Approvisionnement de rechanges mécaniques de marques diverses ou équivalent au profit des bâtiments de la Marine Nationale</x:v>
      </x:c>
      <x:c r="E296" s="33" t="str">
        <x:v>Pièces de rechange pour coque et pièces mécaniques pour navires de guerre.</x:v>
      </x:c>
      <x:c r="F296" s="36" t="n">
        <x:v>3738</x:v>
      </x:c>
      <x:c r="G296" s="38" t="n">
        <x:v>43398</x:v>
      </x:c>
      <x:c r="H296" s="38" t="n">
        <x:v>43398</x:v>
      </x:c>
      <x:c r="I296" s="40" t="n">
        <x:v>3</x:v>
      </x:c>
      <x:c r="J296" s="33" t="str">
        <x:v>Marché</x:v>
      </x:c>
      <x:c r="K296" s="33" t="str">
        <x:v>Procédure adaptée</x:v>
      </x:c>
      <x:c r="L296" s="33" t="str">
        <x:v>Ferme</x:v>
      </x:c>
      <x:c r="M296" s="33" t="str">
        <x:v>(29) Finistère</x:v>
      </x:c>
      <x:c r="N296" s="33" t="str">
        <x:v>Oui</x:v>
      </x:c>
      <x:c r="O296" s="33" t="str">
        <x:v>data.gouv.fr_aife</x:v>
      </x:c>
      <x:c r="P296" s="33" t="str">
        <x:v>2018150905408300</x:v>
      </x:c>
    </x:row>
    <x:row r="297">
      <x:c r="A297" s="33" t="str">
        <x:v>2018150903891800</x:v>
      </x:c>
      <x:c r="B297" s="33" t="str">
        <x:v>MINARM / DGA / DO / S2A / PROD / DA-BS - Division achats - Bourges</x:v>
      </x:c>
      <x:c r="C297" s="33" t="str">
        <x:v>ALLIANTECH</x:v>
      </x:c>
      <x:c r="D297" s="33" t="str">
        <x:v>Acquisition de pièces de rechanges pour mannequins anthropomorphes</x:v>
      </x:c>
      <x:c r="E297" s="33" t="str">
        <x:v>Simulateur de recherche, d'essai et scientifique et technique.</x:v>
      </x:c>
      <x:c r="F297" s="36" t="n">
        <x:v>88000</x:v>
      </x:c>
      <x:c r="G297" s="38" t="n">
        <x:v>43398</x:v>
      </x:c>
      <x:c r="H297" s="38" t="n">
        <x:v>43398</x:v>
      </x:c>
      <x:c r="I297" s="40" t="n">
        <x:v>20</x:v>
      </x:c>
      <x:c r="J297" s="33" t="str">
        <x:v>Marché</x:v>
      </x:c>
      <x:c r="K297" s="33" t="str">
        <x:v>Procédure adaptée</x:v>
      </x:c>
      <x:c r="L297" s="33" t="str">
        <x:v>Ferme et actualisable</x:v>
      </x:c>
      <x:c r="M297" s="33" t="str">
        <x:v>(18) Cher</x:v>
      </x:c>
      <x:c r="N297" s="33" t="str">
        <x:v>Oui</x:v>
      </x:c>
      <x:c r="O297" s="33" t="str">
        <x:v>data.gouv.fr_aife</x:v>
      </x:c>
      <x:c r="P297" s="33" t="str">
        <x:v>2018150903891800</x:v>
      </x:c>
    </x:row>
    <x:row r="298">
      <x:c r="A298" s="33" t="str">
        <x:v>2018150904271200</x:v>
      </x:c>
      <x:c r="B298" s="33" t="str">
        <x:v>MINARM / SGA / SID / ESID BREST - Etablissement du service d'infrastructure de la défense de BREST - ESID Brest</x:v>
      </x:c>
      <x:c r="C298" s="33" t="str">
        <x:v>VINCI CONSTRUCTION MARITIME ET FLUVIAL</x:v>
      </x:c>
      <x:c r="D298" s="33" t="str">
        <x:v>Inspection subaquatique approfondie des musoirs des bassins 19 et 20 de la Base sous-marine de la Base Navale de Brest.</x:v>
      </x:c>
      <x:c r="E298" s="33" t="str">
        <x:v>Services d'inspection technique.</x:v>
      </x:c>
      <x:c r="F298" s="36" t="n">
        <x:v>22008</x:v>
      </x:c>
      <x:c r="G298" s="38" t="n">
        <x:v>43398</x:v>
      </x:c>
      <x:c r="H298" s="38" t="n">
        <x:v>43398</x:v>
      </x:c>
      <x:c r="I298" s="40" t="n">
        <x:v>2</x:v>
      </x:c>
      <x:c r="J298" s="33" t="str">
        <x:v>Marché</x:v>
      </x:c>
      <x:c r="K298" s="33" t="str">
        <x:v>Procédure adaptée</x:v>
      </x:c>
      <x:c r="L298" s="33" t="str">
        <x:v>Ferme</x:v>
      </x:c>
      <x:c r="M298" s="33" t="str">
        <x:v>(29) Finistère</x:v>
      </x:c>
      <x:c r="N298" s="33" t="str">
        <x:v>Oui</x:v>
      </x:c>
      <x:c r="O298" s="33" t="str">
        <x:v>data.gouv.fr_aife</x:v>
      </x:c>
      <x:c r="P298" s="33" t="str">
        <x:v>2018150904271200</x:v>
      </x:c>
    </x:row>
    <x:row r="299">
      <x:c r="A299" s="33" t="str">
        <x:v>2018150902021900</x:v>
      </x:c>
      <x:c r="B299" s="33" t="str">
        <x:v>MINARM / DMAé / SSAM 33 504 (Beauséjour) - Structure Spécialisée d'achat et de Mandatement 33 504 (Beauséjour)</x:v>
      </x:c>
      <x:c r="C299" s="33" t="str">
        <x:v>EIFFAGE ENERGIE SYSTEMES - CLEMESSY SERVICES</x:v>
      </x:c>
      <x:c r="D299" s="33" t="str">
        <x:v>Services de réparation et d'entretien de matériel roulant</x:v>
      </x:c>
      <x:c r="E299" s="33" t="str">
        <x:v>Services de réparation et d'entretien de matériel roulant.</x:v>
      </x:c>
      <x:c r="F299" s="36" t="n">
        <x:v>2380</x:v>
      </x:c>
      <x:c r="G299" s="38" t="n">
        <x:v>43398</x:v>
      </x:c>
      <x:c r="H299" s="38" t="n">
        <x:v>43398</x:v>
      </x:c>
      <x:c r="I299" s="40" t="n">
        <x:v>1</x:v>
      </x:c>
      <x:c r="J299" s="33" t="str"/>
      <x:c r="K299" s="33" t="str"/>
      <x:c r="L299" s="33" t="str"/>
      <x:c r="M299" s="33" t="str">
        <x:v>(33) Gironde</x:v>
      </x:c>
      <x:c r="N299" s="33" t="str">
        <x:v>Oui</x:v>
      </x:c>
      <x:c r="O299" s="33" t="str">
        <x:v>data.gouv.fr_aife</x:v>
      </x:c>
      <x:c r="P299" s="33" t="str">
        <x:v>2018150902021900</x:v>
      </x:c>
    </x:row>
    <x:row r="300">
      <x:c r="A300" s="33" t="str">
        <x:v>2018150903505700</x:v>
      </x:c>
      <x:c r="B300" s="33" t="str">
        <x:v>MINARM / SSF / DSSF Toulon - Direction du service de soutien de la flotte de Toulon - DSSF Toulon</x:v>
      </x:c>
      <x:c r="C300" s="33" t="str">
        <x:v>YLEC CONSULTANTS</x:v>
      </x:c>
      <x:c r="D300" s="33" t="str">
        <x:v>S18T40025 : Location d'un système d'épuration centrifuge de traitement des eaux hydrocarburées automatisé et compact pour essais (V2) -</x:v>
      </x:c>
      <x:c r="E300" s="33" t="str">
        <x:v>Pièces pour navires de guerre.</x:v>
      </x:c>
      <x:c r="F300" s="36" t="n">
        <x:v>28800</x:v>
      </x:c>
      <x:c r="G300" s="38" t="n">
        <x:v>43398</x:v>
      </x:c>
      <x:c r="H300" s="38" t="n">
        <x:v>43398</x:v>
      </x:c>
      <x:c r="I300" s="40" t="n">
        <x:v>5</x:v>
      </x:c>
      <x:c r="J300" s="33" t="str"/>
      <x:c r="K300" s="33" t="str"/>
      <x:c r="L300" s="33" t="str"/>
      <x:c r="M300" s="33" t="str">
        <x:v>(83) Var</x:v>
      </x:c>
      <x:c r="N300" s="33" t="str">
        <x:v>Oui</x:v>
      </x:c>
      <x:c r="O300" s="33" t="str">
        <x:v>data.gouv.fr_aife</x:v>
      </x:c>
      <x:c r="P300" s="33" t="str">
        <x:v>2018150903505700</x:v>
      </x:c>
    </x:row>
    <x:row r="301">
      <x:c r="A301" s="33" t="str">
        <x:v>2018100013100700</x:v>
      </x:c>
      <x:c r="B301" s="33" t="str">
        <x:v>MINARM / SGA / SID / ESID Bordeaux - Etablissement du service d'infrastructure de la défense de Bordeaux - ESID Bordeaux</x:v>
      </x:c>
      <x:c r="C301" s="33" t="str">
        <x:v>BELLIN TP</x:v>
      </x:c>
      <x:c r="D301" s="33" t="str">
        <x:v>BIARD (86) - Camp de manuvre et de tir - Purge profonde des buttes de tir</x:v>
      </x:c>
      <x:c r="E301" s="33" t="str">
        <x:v>Travaux de fouille et de terrassement.</x:v>
      </x:c>
      <x:c r="F301" s="36" t="n">
        <x:v>92070</x:v>
      </x:c>
      <x:c r="G301" s="38" t="n">
        <x:v>43398</x:v>
      </x:c>
      <x:c r="H301" s="38" t="n">
        <x:v>43398</x:v>
      </x:c>
      <x:c r="I301" s="40" t="n">
        <x:v>1</x:v>
      </x:c>
      <x:c r="J301" s="33" t="str"/>
      <x:c r="K301" s="33" t="str"/>
      <x:c r="L301" s="33" t="str"/>
      <x:c r="M301" s="33" t="str">
        <x:v>(86) Vienne</x:v>
      </x:c>
      <x:c r="N301" s="33" t="str">
        <x:v>Oui</x:v>
      </x:c>
      <x:c r="O301" s="33" t="str">
        <x:v>data.gouv.fr_aife</x:v>
      </x:c>
      <x:c r="P301" s="33" t="str">
        <x:v>2018100013100700</x:v>
      </x:c>
    </x:row>
    <x:row r="302">
      <x:c r="A302" s="33" t="str">
        <x:v>2018120005820200</x:v>
      </x:c>
      <x:c r="B302" s="33" t="str">
        <x:v>MINARM / SGA / SID / ESID Metz - Etablissement du service d'infrastructure de la défense de Metz - ESID Metz</x:v>
      </x:c>
      <x:c r="C302" s="33" t="str">
        <x:v>IDEX ENERGIES</x:v>
      </x:c>
      <x:c r="D302" s="33" t="str">
        <x:v>MEUSE (55) - Base de Défense de Verdun - - Exploitation et maintenance des installations de chauffage, de production deau chaude sanitaire, de ventilation mécanique contrôlée et de climatisation -</x:v>
      </x:c>
      <x:c r="E302" s="33" t="str">
        <x:v>Pièces détachées de chaudières pour chauffage central.</x:v>
      </x:c>
      <x:c r="F302" s="36" t="n">
        <x:v>1233333</x:v>
      </x:c>
      <x:c r="G302" s="38" t="n">
        <x:v>43398</x:v>
      </x:c>
      <x:c r="H302" s="38" t="n">
        <x:v>43398</x:v>
      </x:c>
      <x:c r="I302" s="40" t="n">
        <x:v>48</x:v>
      </x:c>
      <x:c r="J302" s="33" t="str"/>
      <x:c r="K302" s="33" t="str"/>
      <x:c r="L302" s="33" t="str"/>
      <x:c r="M302" s="33" t="str">
        <x:v>(57) Moselle</x:v>
      </x:c>
      <x:c r="N302" s="33" t="str">
        <x:v>Oui</x:v>
      </x:c>
      <x:c r="O302" s="33" t="str">
        <x:v>data.gouv.fr_aife</x:v>
      </x:c>
      <x:c r="P302" s="33" t="str">
        <x:v>2018120005820200</x:v>
      </x:c>
    </x:row>
    <x:row r="303">
      <x:c r="A303" s="33" t="str">
        <x:v>2018150903874300</x:v>
      </x:c>
      <x:c r="B303" s="33" t="str">
        <x:v>MINARM / SGA / SID / ESID Metz - Etablissement du service d'infrastructure de la défense de Metz - ESID Metz</x:v>
      </x:c>
      <x:c r="C303" s="33" t="str">
        <x:v>WH</x:v>
      </x:c>
      <x:c r="D303" s="33" t="str">
        <x:v>METZ (57) - Caserne de Lattre de Tassigny - Bât 0014 - Débit de boisson - Mise en oeuvre de l'AD'AP 2018 - MENUISERIE CARRELAGES SIGNALISATIONS</x:v>
      </x:c>
      <x:c r="E303" s="33" t="str">
        <x:v>Pose de menuiseries métalliques, excepté portes et fenêtres.</x:v>
      </x:c>
      <x:c r="F303" s="36" t="n">
        <x:v>31870</x:v>
      </x:c>
      <x:c r="G303" s="38" t="n">
        <x:v>43398</x:v>
      </x:c>
      <x:c r="H303" s="38" t="n">
        <x:v>43398</x:v>
      </x:c>
      <x:c r="I303" s="40" t="n">
        <x:v>3</x:v>
      </x:c>
      <x:c r="J303" s="33" t="str">
        <x:v>Marché</x:v>
      </x:c>
      <x:c r="K303" s="33" t="str">
        <x:v>Procédure adaptée</x:v>
      </x:c>
      <x:c r="L303" s="33" t="str">
        <x:v>Ferme et actualisable</x:v>
      </x:c>
      <x:c r="M303" s="33" t="str">
        <x:v>(57) Moselle</x:v>
      </x:c>
      <x:c r="N303" s="33" t="str">
        <x:v>Oui</x:v>
      </x:c>
      <x:c r="O303" s="33" t="str">
        <x:v>data.gouv.fr_aife</x:v>
      </x:c>
      <x:c r="P303" s="33" t="str">
        <x:v>2018150903874300</x:v>
      </x:c>
    </x:row>
    <x:row r="304">
      <x:c r="A304" s="33" t="str">
        <x:v>20182018F1911500</x:v>
      </x:c>
      <x:c r="B304" s="33" t="str">
        <x:v>MINARM / ESTM / EPA / Ecole Polytechnique - Ecole Polytechnique</x:v>
      </x:c>
      <x:c r="C304" s="33" t="str">
        <x:v>GAZ DE BORDEAUX</x:v>
      </x:c>
      <x:c r="D304" s="33" t="str">
        <x:v>FOURNITURE ET ACHEMINEMENT DE GAZ NATUREL POUR LE SITE DE L'ECOLE POLYTECHNIQUE</x:v>
      </x:c>
      <x:c r="E304" s="33" t="str"/>
      <x:c r="F304" s="36" t="n">
        <x:v>1300000</x:v>
      </x:c>
      <x:c r="G304" s="38" t="n">
        <x:v>43398</x:v>
      </x:c>
      <x:c r="H304" s="38" t="n">
        <x:v>43398</x:v>
      </x:c>
      <x:c r="I304" s="40" t="n">
        <x:v>12</x:v>
      </x:c>
      <x:c r="J304" s="33" t="str">
        <x:v>Marché subséquent</x:v>
      </x:c>
      <x:c r="K304" s="33" t="str"/>
      <x:c r="L304" s="33" t="str">
        <x:v>Ferme</x:v>
      </x:c>
      <x:c r="M304" s="33" t="str">
        <x:v>(91) Essonne</x:v>
      </x:c>
      <x:c r="N304" s="33" t="str">
        <x:v>Oui</x:v>
      </x:c>
      <x:c r="O304" s="33" t="str">
        <x:v>data.gouv.fr_aife</x:v>
      </x:c>
      <x:c r="P304" s="33" t="str">
        <x:v>20182018F1911500</x:v>
      </x:c>
    </x:row>
    <x:row r="305">
      <x:c r="A305" s="33" t="str">
        <x:v>2018150905408400</x:v>
      </x:c>
      <x:c r="B305" s="33" t="str">
        <x:v>MINARM / SGA / SID / ESID BREST - Etablissement du service d'infrastructure de la défense de BREST - ESID Brest</x:v>
      </x:c>
      <x:c r="C305" s="33" t="str">
        <x:v>SOCIETE ALREENNE DE MENUISERIE</x:v>
      </x:c>
      <x:c r="D305" s="33" t="str">
        <x:v>BAN LBH - Bât. B30 - B34 - Travaux de remplacement de menuiseries extérieures</x:v>
      </x:c>
      <x:c r="E305" s="33" t="str">
        <x:v>Pose de menuiseries métalliques, excepté portes et fenêtres.</x:v>
      </x:c>
      <x:c r="F305" s="36" t="n">
        <x:v>61123</x:v>
      </x:c>
      <x:c r="G305" s="38" t="n">
        <x:v>43398</x:v>
      </x:c>
      <x:c r="H305" s="38" t="n">
        <x:v>43398</x:v>
      </x:c>
      <x:c r="I305" s="40" t="n">
        <x:v>2</x:v>
      </x:c>
      <x:c r="J305" s="33" t="str">
        <x:v>Marché</x:v>
      </x:c>
      <x:c r="K305" s="33" t="str">
        <x:v>Procédure adaptée</x:v>
      </x:c>
      <x:c r="L305" s="33" t="str">
        <x:v>Ferme et actualisable</x:v>
      </x:c>
      <x:c r="M305" s="33" t="str">
        <x:v>(56) Morbihan</x:v>
      </x:c>
      <x:c r="N305" s="33" t="str">
        <x:v>Oui</x:v>
      </x:c>
      <x:c r="O305" s="33" t="str">
        <x:v>data.gouv.fr_aife</x:v>
      </x:c>
      <x:c r="P305" s="33" t="str">
        <x:v>2018150905408400</x:v>
      </x:c>
    </x:row>
    <x:row r="306">
      <x:c r="A306" s="33" t="str">
        <x:v>2018150902013500</x:v>
      </x:c>
      <x:c r="B306" s="33" t="str">
        <x:v>MINARM / DMAé / SSAM 33 504 (Beauséjour) - Structure Spécialisée d'achat et de Mandatement 33 504 (Beauséjour)</x:v>
      </x:c>
      <x:c r="C306" s="33" t="str">
        <x:v>OLDHAM</x:v>
      </x:c>
      <x:c r="D306" s="33" t="str">
        <x:v>Cartes magnétiques</x:v>
      </x:c>
      <x:c r="E306" s="33" t="str">
        <x:v>Cartes magnétiques.</x:v>
      </x:c>
      <x:c r="F306" s="36" t="n">
        <x:v>3910</x:v>
      </x:c>
      <x:c r="G306" s="38" t="n">
        <x:v>43398</x:v>
      </x:c>
      <x:c r="H306" s="38" t="n">
        <x:v>43398</x:v>
      </x:c>
      <x:c r="I306" s="40" t="n">
        <x:v>2</x:v>
      </x:c>
      <x:c r="J306" s="33" t="str"/>
      <x:c r="K306" s="33" t="str"/>
      <x:c r="L306" s="33" t="str"/>
      <x:c r="M306" s="33" t="str">
        <x:v>(33) Gironde</x:v>
      </x:c>
      <x:c r="N306" s="33" t="str">
        <x:v>Oui</x:v>
      </x:c>
      <x:c r="O306" s="33" t="str">
        <x:v>data.gouv.fr_aife</x:v>
      </x:c>
      <x:c r="P306" s="33" t="str">
        <x:v>2018150902013500</x:v>
      </x:c>
    </x:row>
    <x:row r="307">
      <x:c r="A307" s="33" t="str">
        <x:v>2018150902016700</x:v>
      </x:c>
      <x:c r="B307" s="33" t="str">
        <x:v>MINARM / DMAé / SSAM 33 504 (Beauséjour) - Structure Spécialisée d'achat et de Mandatement 33 504 (Beauséjour)</x:v>
      </x:c>
      <x:c r="C307" s="33" t="str">
        <x:v>PINON</x:v>
      </x:c>
      <x:c r="D307" s="33" t="str">
        <x:v>Pièces pour matériel de levage et de manutention</x:v>
      </x:c>
      <x:c r="E307" s="33" t="str">
        <x:v>Pièces pour matériel de levage et de manutention.</x:v>
      </x:c>
      <x:c r="F307" s="36" t="n">
        <x:v>1555</x:v>
      </x:c>
      <x:c r="G307" s="38" t="n">
        <x:v>43398</x:v>
      </x:c>
      <x:c r="H307" s="38" t="n">
        <x:v>43398</x:v>
      </x:c>
      <x:c r="I307" s="40" t="n">
        <x:v>1</x:v>
      </x:c>
      <x:c r="J307" s="33" t="str"/>
      <x:c r="K307" s="33" t="str"/>
      <x:c r="L307" s="33" t="str"/>
      <x:c r="M307" s="33" t="str">
        <x:v>(33) Gironde</x:v>
      </x:c>
      <x:c r="N307" s="33" t="str">
        <x:v>Oui</x:v>
      </x:c>
      <x:c r="O307" s="33" t="str">
        <x:v>data.gouv.fr_aife</x:v>
      </x:c>
      <x:c r="P307" s="33" t="str">
        <x:v>2018150902016700</x:v>
      </x:c>
    </x:row>
    <x:row r="308">
      <x:c r="A308" s="33" t="str">
        <x:v>20182018T8007400</x:v>
      </x:c>
      <x:c r="B308" s="33" t="str">
        <x:v>MINARM / SIAé - Service industriel de l'aéronautique</x:v>
      </x:c>
      <x:c r="C308" s="33" t="str">
        <x:v>CLOTURES MAS</x:v>
      </x:c>
      <x:c r="D308" s="33" t="str">
        <x:v>BAFO-18014 - Travaux neufs et de réfection de second oeuvre sur les clôtures grillagées, panneaux rigides, portails pivotants, portes coulissantes et petits travaux de ferronnerie de l'AIA de Cuers-Pierrefeu et son antenne sur le site de la BAN d'Hyèr</x:v>
      </x:c>
      <x:c r="E308" s="33" t="str">
        <x:v>Travaux d'installation de clôtures, de garde-corps et de dispositifs de sécurité.</x:v>
      </x:c>
      <x:c r="F308" s="36" t="n">
        <x:v>500000</x:v>
      </x:c>
      <x:c r="G308" s="38" t="n">
        <x:v>43398</x:v>
      </x:c>
      <x:c r="H308" s="38" t="n">
        <x:v>43398</x:v>
      </x:c>
      <x:c r="I308" s="40" t="n">
        <x:v>60</x:v>
      </x:c>
      <x:c r="J308" s="33" t="str">
        <x:v>Accord-cadre</x:v>
      </x:c>
      <x:c r="K308" s="33" t="str"/>
      <x:c r="L308" s="33" t="str">
        <x:v>Révisable</x:v>
      </x:c>
      <x:c r="M308" s="33" t="str">
        <x:v>(83) Var</x:v>
      </x:c>
      <x:c r="N308" s="33" t="str">
        <x:v>Oui</x:v>
      </x:c>
      <x:c r="O308" s="33" t="str">
        <x:v>data.gouv.fr_aife</x:v>
      </x:c>
      <x:c r="P308" s="33" t="str">
        <x:v>20182018T8007400</x:v>
      </x:c>
    </x:row>
    <x:row r="309">
      <x:c r="A309" s="33" t="str">
        <x:v>2018150904935900</x:v>
      </x:c>
      <x:c r="B309" s="33" t="str">
        <x:v>MINARM / SSF / DSSF Brest - Direction du service de soutien de la flotte de Brest - DSSF Brest</x:v>
      </x:c>
      <x:c r="C309" s="33" t="str">
        <x:v>LOGNAV-CM</x:v>
      </x:c>
      <x:c r="D309" s="33" t="str">
        <x:v>Approvisionnement de convertisseurs numériques de marques diverses ou équivalents au profit des unités de la Marine Nationale</x:v>
      </x:c>
      <x:c r="E309" s="33" t="str">
        <x:v>Pièces électroniques et électriques de rechange pour navires de guerre.</x:v>
      </x:c>
      <x:c r="F309" s="36" t="n">
        <x:v>7347</x:v>
      </x:c>
      <x:c r="G309" s="38" t="n">
        <x:v>43398</x:v>
      </x:c>
      <x:c r="H309" s="38" t="n">
        <x:v>43398</x:v>
      </x:c>
      <x:c r="I309" s="40" t="n">
        <x:v>3</x:v>
      </x:c>
      <x:c r="J309" s="33" t="str">
        <x:v>Marché</x:v>
      </x:c>
      <x:c r="K309" s="33" t="str">
        <x:v>Procédure adaptée</x:v>
      </x:c>
      <x:c r="L309" s="33" t="str">
        <x:v>Ferme</x:v>
      </x:c>
      <x:c r="M309" s="33" t="str">
        <x:v>(29) Finistère</x:v>
      </x:c>
      <x:c r="N309" s="33" t="str">
        <x:v>Oui</x:v>
      </x:c>
      <x:c r="O309" s="33" t="str">
        <x:v>data.gouv.fr_aife</x:v>
      </x:c>
      <x:c r="P309" s="33" t="str">
        <x:v>2018150904935900</x:v>
      </x:c>
    </x:row>
    <x:row r="310">
      <x:c r="A310" s="33" t="str">
        <x:v>2018100013116300</x:v>
      </x:c>
      <x:c r="B310" s="33" t="str">
        <x:v>MINARM / SSF / DSSF Toulon - Direction du service de soutien de la flotte de Toulon - DSSF Toulon</x:v>
      </x:c>
      <x:c r="C310" s="33" t="str">
        <x:v>LOGNAV-CM</x:v>
      </x:c>
      <x:c r="D310" s="33" t="str">
        <x:v>AC M15T20 025 relatif à la fourniture de matériels de robinetterie tels que vannes, soupapes, clapets, robinets, détendeurs, valves, raccords, coudes, tubes, tuyaux, colliers, brides, manchons, flexibles et accessoires associés pour les besoins néces</x:v>
      </x:c>
      <x:c r="E310" s="33" t="str">
        <x:v>Pièces pour navires de guerre.</x:v>
      </x:c>
      <x:c r="F310" s="36" t="n">
        <x:v>4646</x:v>
      </x:c>
      <x:c r="G310" s="38" t="n">
        <x:v>43398</x:v>
      </x:c>
      <x:c r="H310" s="38" t="n">
        <x:v>43398</x:v>
      </x:c>
      <x:c r="I310" s="40" t="n">
        <x:v>5</x:v>
      </x:c>
      <x:c r="J310" s="33" t="str">
        <x:v>Marché subséquent</x:v>
      </x:c>
      <x:c r="K310" s="33" t="str">
        <x:v>Appel d'offres ouvert</x:v>
      </x:c>
      <x:c r="L310" s="33" t="str">
        <x:v>Ferme et actualisable</x:v>
      </x:c>
      <x:c r="M310" s="33" t="str">
        <x:v>(83) Var</x:v>
      </x:c>
      <x:c r="N310" s="33" t="str">
        <x:v>Oui</x:v>
      </x:c>
      <x:c r="O310" s="33" t="str">
        <x:v>data.gouv.fr_aife</x:v>
      </x:c>
      <x:c r="P310" s="33" t="str">
        <x:v>2018100013116300</x:v>
      </x:c>
    </x:row>
    <x:row r="311">
      <x:c r="A311" s="33" t="str">
        <x:v>2018170008967300</x:v>
      </x:c>
      <x:c r="B311" s="33" t="str">
        <x:v>MINARM / DIRISI - Direction Interarmées des Réseaux d'Infrastructure et des Systèmes d'Information de la défense</x:v>
      </x:c>
      <x:c r="C311" s="33" t="str">
        <x:v>WATERLOGIC</x:v>
      </x:c>
      <x:c r="D311" s="33" t="str">
        <x:v>LOCATION ET ENTRETIEN FONTAINE A EAU</x:v>
      </x:c>
      <x:c r="E311" s="33" t="str">
        <x:v>Installations de distribution d'eau.</x:v>
      </x:c>
      <x:c r="F311" s="36" t="n">
        <x:v>1800</x:v>
      </x:c>
      <x:c r="G311" s="38" t="n">
        <x:v>43398</x:v>
      </x:c>
      <x:c r="H311" s="38" t="n">
        <x:v>43398</x:v>
      </x:c>
      <x:c r="I311" s="40" t="n">
        <x:v>48</x:v>
      </x:c>
      <x:c r="J311" s="33" t="str">
        <x:v>Accord-cadre</x:v>
      </x:c>
      <x:c r="K311" s="33" t="str">
        <x:v>Procédure adaptée</x:v>
      </x:c>
      <x:c r="L311" s="33" t="str">
        <x:v>Révisable</x:v>
      </x:c>
      <x:c r="M311" s="33" t="str">
        <x:v>(94) Val-de-Marne</x:v>
      </x:c>
      <x:c r="N311" s="33" t="str">
        <x:v>Oui</x:v>
      </x:c>
      <x:c r="O311" s="33" t="str">
        <x:v>data.gouv.fr_aife</x:v>
      </x:c>
      <x:c r="P311" s="33" t="str">
        <x:v>2018170008967300</x:v>
      </x:c>
    </x:row>
    <x:row r="312">
      <x:c r="A312" s="33" t="str">
        <x:v>2018160004933600</x:v>
      </x:c>
      <x:c r="B312" s="33" t="str">
        <x:v>MINARM / SGA / SID / ESID Lyon - Etablissement du service d'infrastructure de la défense de Lyon - ESID Lyon</x:v>
      </x:c>
      <x:c r="C312" s="33" t="str">
        <x:v>MEDINSCOP</x:v>
      </x:c>
      <x:c r="D312" s="33" t="str">
        <x:v>Le présent marché a pour objet la réalisation d'un diagnostic approfondi sur les facteurs de risques psychosociaux au sein de certaines structures de l'établissement du service d'infrastructure de la défense (ESID) de Lyon. Il a également pour objet l'a...</x:v>
      </x:c>
      <x:c r="E312" s="33" t="str">
        <x:v>Services prestés par les psychiatres ou les psychologues.</x:v>
      </x:c>
      <x:c r="F312" s="36" t="n">
        <x:v>24938</x:v>
      </x:c>
      <x:c r="G312" s="38" t="n">
        <x:v>43399</x:v>
      </x:c>
      <x:c r="H312" s="38" t="n">
        <x:v>43399</x:v>
      </x:c>
      <x:c r="I312" s="40" t="n">
        <x:v>12</x:v>
      </x:c>
      <x:c r="J312" s="33" t="str"/>
      <x:c r="K312" s="33" t="str"/>
      <x:c r="L312" s="33" t="str"/>
      <x:c r="M312" s="33" t="str">
        <x:v>(69) Rhône</x:v>
      </x:c>
      <x:c r="N312" s="33" t="str">
        <x:v>Oui</x:v>
      </x:c>
      <x:c r="O312" s="33" t="str">
        <x:v>data.gouv.fr_aife</x:v>
      </x:c>
      <x:c r="P312" s="33" t="str">
        <x:v>2018160004933600</x:v>
      </x:c>
    </x:row>
    <x:row r="313">
      <x:c r="A313" s="33" t="str">
        <x:v>2018150905762600</x:v>
      </x:c>
      <x:c r="B313" s="33" t="str">
        <x:v>MINARM / SSF / DSSF Brest - Direction du service de soutien de la flotte de Brest - DSSF Brest</x:v>
      </x:c>
      <x:c r="C313" s="33" t="str">
        <x:v>ELICAS METAL</x:v>
      </x:c>
      <x:c r="D313" s="33" t="str">
        <x:v>Approvisionnement de matières industrielles au profit du service logistique de la marine de BREST.</x:v>
      </x:c>
      <x:c r="E313" s="33" t="str">
        <x:v>Pièces de rechange pour coque et pièces mécaniques pour navires de guerre.</x:v>
      </x:c>
      <x:c r="F313" s="36" t="n">
        <x:v>7196</x:v>
      </x:c>
      <x:c r="G313" s="38" t="n">
        <x:v>43399</x:v>
      </x:c>
      <x:c r="H313" s="38" t="n">
        <x:v>43399</x:v>
      </x:c>
      <x:c r="I313" s="40" t="n">
        <x:v>2</x:v>
      </x:c>
      <x:c r="J313" s="33" t="str">
        <x:v>Marché</x:v>
      </x:c>
      <x:c r="K313" s="33" t="str">
        <x:v>Procédure adaptée</x:v>
      </x:c>
      <x:c r="L313" s="33" t="str">
        <x:v>Ferme</x:v>
      </x:c>
      <x:c r="M313" s="33" t="str">
        <x:v>(29) Finistère</x:v>
      </x:c>
      <x:c r="N313" s="33" t="str">
        <x:v>Oui</x:v>
      </x:c>
      <x:c r="O313" s="33" t="str">
        <x:v>data.gouv.fr_aife</x:v>
      </x:c>
      <x:c r="P313" s="33" t="str">
        <x:v>2018150905762600</x:v>
      </x:c>
    </x:row>
    <x:row r="314">
      <x:c r="A314" s="33" t="str">
        <x:v>2018130013843600</x:v>
      </x:c>
      <x:c r="B314" s="33" t="str">
        <x:v>MINARM / DGA / DO / S2A / PROD / DA-BA - Division achats - Toulouse/Balma</x:v>
      </x:c>
      <x:c r="C314" s="33" t="str">
        <x:v>CHUTEXTREM</x:v>
      </x:c>
      <x:c r="D314" s="33" t="str">
        <x:v>Prestations de parachutage et de largage au profit de DGA TA. Décomposé en 5 lots : - Lot 1 : achat de places avion pour parachutage par porte latérale ; - Lot 2 : achat de places avion pour parachutage par issue axiale ; - Lot 3 : location d'avion comp...</x:v>
      </x:c>
      <x:c r="E314" s="33" t="str">
        <x:v>Location d'aéronefs à voilure fixe avec équipage.</x:v>
      </x:c>
      <x:c r="F314" s="36" t="n">
        <x:v>250000</x:v>
      </x:c>
      <x:c r="G314" s="38" t="n">
        <x:v>43399</x:v>
      </x:c>
      <x:c r="H314" s="38" t="n">
        <x:v>43399</x:v>
      </x:c>
      <x:c r="I314" s="40" t="n">
        <x:v>36</x:v>
      </x:c>
      <x:c r="J314" s="33" t="str"/>
      <x:c r="K314" s="33" t="str"/>
      <x:c r="L314" s="33" t="str"/>
      <x:c r="M314" s="33" t="str">
        <x:v>(31) Haute-Garonne</x:v>
      </x:c>
      <x:c r="N314" s="33" t="str">
        <x:v>Oui</x:v>
      </x:c>
      <x:c r="O314" s="33" t="str">
        <x:v>data.gouv.fr_aife</x:v>
      </x:c>
      <x:c r="P314" s="33" t="str">
        <x:v>2018130013843600</x:v>
      </x:c>
    </x:row>
    <x:row r="315">
      <x:c r="A315" s="33" t="str">
        <x:v>2018130013853700</x:v>
      </x:c>
      <x:c r="B315" s="33" t="str">
        <x:v>MINARM / SSA / DAPSA - Direction des Approvisionnements en produits de santé des armées</x:v>
      </x:c>
      <x:c r="C315" s="33" t="str">
        <x:v>JOHNSON &amp; JOHNSON MEDICAL SAS</x:v>
      </x:c>
      <x:c r="D315" s="33" t="str">
        <x:v>Prestation de maintenance des moteurs chirurgicaux de la marque JOHNSON &amp; JOHNSON et fourniture de pièces détachées et accessoires au profit du SSA</x:v>
      </x:c>
      <x:c r="E315" s="33" t="str">
        <x:v>Services de réparation et d'entretien de matériel médical.</x:v>
      </x:c>
      <x:c r="F315" s="36" t="n">
        <x:v>792157</x:v>
      </x:c>
      <x:c r="G315" s="38" t="n">
        <x:v>43399</x:v>
      </x:c>
      <x:c r="H315" s="38" t="n">
        <x:v>43399</x:v>
      </x:c>
      <x:c r="I315" s="40" t="n">
        <x:v>48</x:v>
      </x:c>
      <x:c r="J315" s="33" t="str"/>
      <x:c r="K315" s="33" t="str"/>
      <x:c r="L315" s="33" t="str"/>
      <x:c r="M315" s="33" t="str">
        <x:v>(92) Hauts-de-Seine</x:v>
      </x:c>
      <x:c r="N315" s="33" t="str">
        <x:v>Oui</x:v>
      </x:c>
      <x:c r="O315" s="33" t="str">
        <x:v>data.gouv.fr_aife</x:v>
      </x:c>
      <x:c r="P315" s="33" t="str">
        <x:v>2018130013853700</x:v>
      </x:c>
    </x:row>
    <x:row r="316">
      <x:c r="A316" s="33" t="str">
        <x:v>2018150907632000</x:v>
      </x:c>
      <x:c r="B316" s="33" t="str">
        <x:v>MINARM / SCA / PFC Sud - Plate-forme commissariat Sud (Toulon)</x:v>
      </x:c>
      <x:c r="C316" s="33" t="str">
        <x:v>FARSIGHT VR</x:v>
      </x:c>
      <x:c r="D316" s="33" t="str">
        <x:v>Développement d'un simulateur de réalité virtuelle à la manutention torpille sur Frégate multi-mission (FREMM) au profit du Pôle Écoles Méditerranée à Toulon dans le cadre d'un projet MIP.</x:v>
      </x:c>
      <x:c r="E316" s="33" t="str">
        <x:v>Simulateurs.</x:v>
      </x:c>
      <x:c r="F316" s="36" t="n">
        <x:v>63988</x:v>
      </x:c>
      <x:c r="G316" s="38" t="n">
        <x:v>43399</x:v>
      </x:c>
      <x:c r="H316" s="38" t="n">
        <x:v>43399</x:v>
      </x:c>
      <x:c r="I316" s="40" t="n">
        <x:v>12</x:v>
      </x:c>
      <x:c r="J316" s="33" t="str">
        <x:v>Marché</x:v>
      </x:c>
      <x:c r="K316" s="33" t="str">
        <x:v>Appel d'offres ouvert</x:v>
      </x:c>
      <x:c r="L316" s="33" t="str">
        <x:v>Ferme</x:v>
      </x:c>
      <x:c r="M316" s="33" t="str">
        <x:v>(83) Var</x:v>
      </x:c>
      <x:c r="N316" s="33" t="str">
        <x:v>Oui</x:v>
      </x:c>
      <x:c r="O316" s="33" t="str">
        <x:v>data.gouv.fr_aife</x:v>
      </x:c>
      <x:c r="P316" s="33" t="str">
        <x:v>2018150907632000</x:v>
      </x:c>
    </x:row>
    <x:row r="317">
      <x:c r="A317" s="33" t="str">
        <x:v>2018150905789400</x:v>
      </x:c>
      <x:c r="B317" s="33" t="str">
        <x:v>MINARM / SSF / DSSF Brest - Direction du service de soutien de la flotte de Brest - DSSF Brest</x:v>
      </x:c>
      <x:c r="C317" s="33" t="str">
        <x:v>LE LITTORAL</x:v>
      </x:c>
      <x:c r="D317" s="33" t="str">
        <x:v>Approvisionnement de joints de marques diverses ou équivalents au profit de bâtiments de la marine nationale.</x:v>
      </x:c>
      <x:c r="E317" s="33" t="str">
        <x:v>Pièces de rechange pour coque et pièces mécaniques pour navires de guerre.</x:v>
      </x:c>
      <x:c r="F317" s="36" t="n">
        <x:v>738</x:v>
      </x:c>
      <x:c r="G317" s="38" t="n">
        <x:v>43399</x:v>
      </x:c>
      <x:c r="H317" s="38" t="n">
        <x:v>43399</x:v>
      </x:c>
      <x:c r="I317" s="40" t="n">
        <x:v>5</x:v>
      </x:c>
      <x:c r="J317" s="33" t="str">
        <x:v>Marché</x:v>
      </x:c>
      <x:c r="K317" s="33" t="str">
        <x:v>Procédure adaptée</x:v>
      </x:c>
      <x:c r="L317" s="33" t="str">
        <x:v>Ferme</x:v>
      </x:c>
      <x:c r="M317" s="33" t="str">
        <x:v>(29) Finistère</x:v>
      </x:c>
      <x:c r="N317" s="33" t="str">
        <x:v>Oui</x:v>
      </x:c>
      <x:c r="O317" s="33" t="str">
        <x:v>data.gouv.fr_aife</x:v>
      </x:c>
      <x:c r="P317" s="33" t="str">
        <x:v>2018150905789400</x:v>
      </x:c>
    </x:row>
    <x:row r="318">
      <x:c r="A318" s="33" t="str">
        <x:v>2018100013143100</x:v>
      </x:c>
      <x:c r="B318" s="33" t="str">
        <x:v>MINARM / SSF / DSSF Toulon - Direction du service de soutien de la flotte de Toulon - DSSF Toulon</x:v>
      </x:c>
      <x:c r="C318" s="33" t="str">
        <x:v>LOGNAV-CM</x:v>
      </x:c>
      <x:c r="D318" s="33" t="str">
        <x:v>AC M16T20 015 relatif à l’approvisionnement de fourniture de matériels de mesure et de contrôle nécessaires au maintien en condition opérationnelle (MCO) des Eléments de Force Maritime (EFM) et des Eléments de Force Armées (EFA). -</x:v>
      </x:c>
      <x:c r="E318" s="33" t="str">
        <x:v>Pièces pour navires de guerre.</x:v>
      </x:c>
      <x:c r="F318" s="36" t="n">
        <x:v>29366</x:v>
      </x:c>
      <x:c r="G318" s="38" t="n">
        <x:v>43399</x:v>
      </x:c>
      <x:c r="H318" s="38" t="n">
        <x:v>43399</x:v>
      </x:c>
      <x:c r="I318" s="40" t="n">
        <x:v>4</x:v>
      </x:c>
      <x:c r="J318" s="33" t="str">
        <x:v>Marché subséquent</x:v>
      </x:c>
      <x:c r="K318" s="33" t="str">
        <x:v>Appel d'offres ouvert</x:v>
      </x:c>
      <x:c r="L318" s="33" t="str">
        <x:v>Ferme et actualisable</x:v>
      </x:c>
      <x:c r="M318" s="33" t="str">
        <x:v>(83) Var</x:v>
      </x:c>
      <x:c r="N318" s="33" t="str">
        <x:v>Oui</x:v>
      </x:c>
      <x:c r="O318" s="33" t="str">
        <x:v>data.gouv.fr_aife</x:v>
      </x:c>
      <x:c r="P318" s="33" t="str">
        <x:v>2018100013143100</x:v>
      </x:c>
    </x:row>
    <x:row r="319">
      <x:c r="A319" s="33" t="str">
        <x:v>2018150906187600</x:v>
      </x:c>
      <x:c r="B319" s="33" t="str">
        <x:v>MINARM / SSF / DSSF Brest - Direction du service de soutien de la flotte de Brest - DSSF Brest</x:v>
      </x:c>
      <x:c r="C319" s="33" t="str">
        <x:v>LOGNAV-CM</x:v>
      </x:c>
      <x:c r="D319" s="33" t="str">
        <x:v>Approvisionnement de produit anti mousse de marque SCHILL+SEILACHER STRUKTOL AG ou équivalent au profit des bâtiments de la Marine Nationale</x:v>
      </x:c>
      <x:c r="E319" s="33" t="str">
        <x:v>Pièces pour navires de guerre.</x:v>
      </x:c>
      <x:c r="F319" s="36" t="n">
        <x:v>6473</x:v>
      </x:c>
      <x:c r="G319" s="38" t="n">
        <x:v>43399</x:v>
      </x:c>
      <x:c r="H319" s="38" t="n">
        <x:v>43399</x:v>
      </x:c>
      <x:c r="I319" s="40" t="n">
        <x:v>2</x:v>
      </x:c>
      <x:c r="J319" s="33" t="str">
        <x:v>Marché</x:v>
      </x:c>
      <x:c r="K319" s="33" t="str">
        <x:v>Procédure adaptée</x:v>
      </x:c>
      <x:c r="L319" s="33" t="str">
        <x:v>Ferme</x:v>
      </x:c>
      <x:c r="M319" s="33" t="str">
        <x:v>(29) Finistère</x:v>
      </x:c>
      <x:c r="N319" s="33" t="str">
        <x:v>Oui</x:v>
      </x:c>
      <x:c r="O319" s="33" t="str">
        <x:v>data.gouv.fr_aife</x:v>
      </x:c>
      <x:c r="P319" s="33" t="str">
        <x:v>2018150906187600</x:v>
      </x:c>
    </x:row>
    <x:row r="320">
      <x:c r="A320" s="33" t="str">
        <x:v>2018130013834200</x:v>
      </x:c>
      <x:c r="B320" s="33" t="str">
        <x:v>MINARM / SCA / PFC Brest - Plate-forme commissariat Brest</x:v>
      </x:c>
      <x:c r="C320" s="33" t="str">
        <x:v>MIRION TECHNOLOGIES (CANBERRA) SAS</x:v>
      </x:c>
      <x:c r="D320" s="33" t="str">
        <x:v>Maintenance préventive et corrective de matériels de marque Canberra au profit des laboratoires de la marine nationale</x:v>
      </x:c>
      <x:c r="E320" s="33" t="str">
        <x:v>Services de réparation et d'entretien d'appareils de contrôle.</x:v>
      </x:c>
      <x:c r="F320" s="36" t="n">
        <x:v>141244</x:v>
      </x:c>
      <x:c r="G320" s="38" t="n">
        <x:v>43399</x:v>
      </x:c>
      <x:c r="H320" s="38" t="n">
        <x:v>43399</x:v>
      </x:c>
      <x:c r="I320" s="40" t="n">
        <x:v>48</x:v>
      </x:c>
      <x:c r="J320" s="33" t="str"/>
      <x:c r="K320" s="33" t="str"/>
      <x:c r="L320" s="33" t="str">
        <x:v>Révisable</x:v>
      </x:c>
      <x:c r="M320" s="33" t="str">
        <x:v>(29) Finistère</x:v>
      </x:c>
      <x:c r="N320" s="33" t="str">
        <x:v>Oui</x:v>
      </x:c>
      <x:c r="O320" s="33" t="str">
        <x:v>data.gouv.fr_aife</x:v>
      </x:c>
      <x:c r="P320" s="33" t="str">
        <x:v>2018130013834200</x:v>
      </x:c>
    </x:row>
    <x:row r="321">
      <x:c r="A321" s="33" t="str">
        <x:v>2018130013854700</x:v>
      </x:c>
      <x:c r="B321" s="33" t="str">
        <x:v>MINARM / DGA / DO / S2A / PROD / DA-BA - Division achats - Toulouse/Balma</x:v>
      </x:c>
      <x:c r="C321" s="33" t="str">
        <x:v>CHUTEXTREM</x:v>
      </x:c>
      <x:c r="D321" s="33" t="str">
        <x:v>Prestations de parachutage et de largage au profit de DGA TA. Décomposé en 5 lots : - Lot 1 : achat de places avion pour parachutage par porte latérale ; - Lot 2 : achat de places avion pour parachutage par issue axiale ; - Lot 3 : location d'avion comp...</x:v>
      </x:c>
      <x:c r="E321" s="33" t="str">
        <x:v>Location d'aéronefs à voilure fixe avec équipage.</x:v>
      </x:c>
      <x:c r="F321" s="36" t="n">
        <x:v>41666</x:v>
      </x:c>
      <x:c r="G321" s="38" t="n">
        <x:v>43399</x:v>
      </x:c>
      <x:c r="H321" s="38" t="n">
        <x:v>43399</x:v>
      </x:c>
      <x:c r="I321" s="40" t="n">
        <x:v>36</x:v>
      </x:c>
      <x:c r="J321" s="33" t="str"/>
      <x:c r="K321" s="33" t="str"/>
      <x:c r="L321" s="33" t="str"/>
      <x:c r="M321" s="33" t="str">
        <x:v>(31) Haute-Garonne</x:v>
      </x:c>
      <x:c r="N321" s="33" t="str">
        <x:v>Oui</x:v>
      </x:c>
      <x:c r="O321" s="33" t="str">
        <x:v>data.gouv.fr_aife</x:v>
      </x:c>
      <x:c r="P321" s="33" t="str">
        <x:v>2018130013854700</x:v>
      </x:c>
    </x:row>
    <x:row r="322">
      <x:c r="A322" s="33" t="str">
        <x:v>20182018F4103000</x:v>
      </x:c>
      <x:c r="B322" s="33" t="str">
        <x:v>MINARM / SIAé / AIA Ambérieu - Atelier Industriel de l'Aéronautique d'Ambérieu en Bugey - AIA Ambérieu</x:v>
      </x:c>
      <x:c r="C322" s="33" t="str">
        <x:v>EUROTECH INTERNATIONAL</x:v>
      </x:c>
      <x:c r="D322" s="33" t="str">
        <x:v>15042 -Lot 2 17ème mise en concurrence Accord cadre pour la fourniture de rechanges non spécifiques à usage aéronautique pour les ateliers industriels de l'aéronautique d'Ambérieu en Bugey, de Bordeaux, de Bretagne, de Clermont-Ferrand et de Cuers P</x:v>
      </x:c>
      <x:c r="E322" s="33" t="str">
        <x:v>Fournitures et accessoires électriques.</x:v>
      </x:c>
      <x:c r="F322" s="36" t="n">
        <x:v>19383</x:v>
      </x:c>
      <x:c r="G322" s="38" t="n">
        <x:v>43399</x:v>
      </x:c>
      <x:c r="H322" s="38" t="n">
        <x:v>43399</x:v>
      </x:c>
      <x:c r="I322" s="40" t="n">
        <x:v>6</x:v>
      </x:c>
      <x:c r="J322" s="33" t="str">
        <x:v>Marché subséquent</x:v>
      </x:c>
      <x:c r="K322" s="33" t="str"/>
      <x:c r="L322" s="33" t="str">
        <x:v>Ferme</x:v>
      </x:c>
      <x:c r="M322" s="33" t="str">
        <x:v>(01) Ain</x:v>
      </x:c>
      <x:c r="N322" s="33" t="str">
        <x:v>Oui</x:v>
      </x:c>
      <x:c r="O322" s="33" t="str">
        <x:v>data.gouv.fr_aife</x:v>
      </x:c>
      <x:c r="P322" s="33" t="str">
        <x:v>20182018F4103000</x:v>
      </x:c>
    </x:row>
    <x:row r="323">
      <x:c r="A323" s="33" t="str">
        <x:v>20252018F0005500</x:v>
      </x:c>
      <x:c r="B323" s="33" t="str">
        <x:v>"MINARM / SCA / PFC RBT / CIEC - Centre interarmées du soutien équipements commissariat"""""</x:v>
      </x:c>
      <x:c r="C323" s="33" t="str">
        <x:v>FECSA</x:v>
      </x:c>
      <x:c r="D323" s="33" t="str">
        <x:v>Combinaisons thermostables "marine nationale" et "gendarmerie maritime", pochettes et sangles pour complétifs de combat. - COMBINAISONS THERMOSTABLES</x:v>
      </x:c>
      <x:c r="E323" s="33" t="str">
        <x:v>Combinaisons.</x:v>
      </x:c>
      <x:c r="F323" s="36" t="n">
        <x:v>33045600</x:v>
      </x:c>
      <x:c r="G323" s="38" t="n">
        <x:v>43400</x:v>
      </x:c>
      <x:c r="H323" s="38" t="n">
        <x:v>43400</x:v>
      </x:c>
      <x:c r="I323" s="40" t="n">
        <x:v>84</x:v>
      </x:c>
      <x:c r="J323" s="33" t="str"/>
      <x:c r="K323" s="33" t="str"/>
      <x:c r="L323" s="33" t="str"/>
      <x:c r="M323" s="33" t="str">
        <x:v>(78) Yvelines</x:v>
      </x:c>
      <x:c r="N323" s="33" t="str">
        <x:v>Oui</x:v>
      </x:c>
      <x:c r="O323" s="33" t="str">
        <x:v>data.gouv.fr_aife</x:v>
      </x:c>
      <x:c r="P323" s="33" t="str">
        <x:v>20252018F0005500</x:v>
      </x:c>
    </x:row>
    <x:row r="324">
      <x:c r="A324" s="33" t="str">
        <x:v>20182018F9007600</x:v>
      </x:c>
      <x:c r="B324" s="33" t="str">
        <x:v>MINARM / SCA / PFC RBT - Plate-forme commissariat Rambouillet</x:v>
      </x:c>
      <x:c r="C324" s="33" t="str">
        <x:v>FECSA</x:v>
      </x:c>
      <x:c r="D324" s="33" t="str">
        <x:v>Fabrication de combinaisons thermostables "marine nationale" et "gendarmerie maritime", pochettes et sangles pour complétifs de combat.</x:v>
      </x:c>
      <x:c r="E324" s="33" t="str">
        <x:v>Combinaisons.</x:v>
      </x:c>
      <x:c r="F324" s="36" t="n">
        <x:v>33000000</x:v>
      </x:c>
      <x:c r="G324" s="38" t="n">
        <x:v>43400</x:v>
      </x:c>
      <x:c r="H324" s="38" t="n">
        <x:v>43400</x:v>
      </x:c>
      <x:c r="I324" s="40" t="n">
        <x:v>84</x:v>
      </x:c>
      <x:c r="J324" s="33" t="str">
        <x:v>Accord-cadre</x:v>
      </x:c>
      <x:c r="K324" s="33" t="str"/>
      <x:c r="L324" s="33" t="str"/>
      <x:c r="M324" s="33" t="str">
        <x:v>(78) Yvelines</x:v>
      </x:c>
      <x:c r="N324" s="33" t="str">
        <x:v>Oui</x:v>
      </x:c>
      <x:c r="O324" s="33" t="str">
        <x:v>data.gouv.fr_aife</x:v>
      </x:c>
      <x:c r="P324" s="33" t="str">
        <x:v>20182018F9007600</x:v>
      </x:c>
    </x:row>
    <x:row r="325">
      <x:c r="A325" s="33" t="str">
        <x:v>20181372100</x:v>
      </x:c>
      <x:c r="B325" s="33" t="str">
        <x:v>MINARM / SCA / PFC RBT - Plate-forme commissariat Rambouillet</x:v>
      </x:c>
      <x:c r="C325" s="33" t="str">
        <x:v>FECSA</x:v>
      </x:c>
      <x:c r="D325" s="33" t="str">
        <x:v>Fabrication de combinaisons thermostables « marine nationale » et « gendarmerie maritime » (Lot 1)</x:v>
      </x:c>
      <x:c r="E325" s="33" t="str">
        <x:v>Combinaisons.</x:v>
      </x:c>
      <x:c r="F325" s="36" t="n">
        <x:v>36825600</x:v>
      </x:c>
      <x:c r="G325" s="38" t="n">
        <x:v>43400</x:v>
      </x:c>
      <x:c r="H325" s="38" t="n">
        <x:v>43400</x:v>
      </x:c>
      <x:c r="I325" s="40" t="n">
        <x:v>84</x:v>
      </x:c>
      <x:c r="J325" s="33" t="str">
        <x:v>Accord-cadre</x:v>
      </x:c>
      <x:c r="K325" s="33" t="str">
        <x:v>Appel d'offres restreint</x:v>
      </x:c>
      <x:c r="L325" s="33" t="str"/>
      <x:c r="M325" s="33" t="str">
        <x:v>(78) Yvelines</x:v>
      </x:c>
      <x:c r="N325" s="33" t="str">
        <x:v>Oui</x:v>
      </x:c>
      <x:c r="O325" s="33" t="str">
        <x:v>data.gouv.fr_aife</x:v>
      </x:c>
      <x:c r="P325" s="33" t="str">
        <x:v>20181372100</x:v>
      </x:c>
    </x:row>
    <x:row r="326">
      <x:c r="A326" s="33" t="str">
        <x:v>2018100013150000</x:v>
      </x:c>
      <x:c r="B326" s="33" t="str">
        <x:v>MINARM / SGA / SID / ESID Metz - Etablissement du service d'infrastructure de la défense de Metz - ESID Metz</x:v>
      </x:c>
      <x:c r="C326" s="33" t="str">
        <x:v>SANTERNE NORD TERTIAIRE</x:v>
      </x:c>
      <x:c r="D326" s="33" t="str">
        <x:v>Sécurisation des sites de la Base de Défense de VERDUN - ROUVRES EN WOEVRE (55) Base Ltn Etienne Mantoux - Installation de bavolets et de fils de ronce sur la clôture existante et de Bastion Wall au niveau des deux portails manuels existants</x:v>
      </x:c>
      <x:c r="E326" s="33" t="str">
        <x:v>Travaux d'installation de clôtures, de garde-corps et de dispositifs de sécurité.</x:v>
      </x:c>
      <x:c r="F326" s="36" t="n">
        <x:v>519812</x:v>
      </x:c>
      <x:c r="G326" s="38" t="n">
        <x:v>43402</x:v>
      </x:c>
      <x:c r="H326" s="38" t="n">
        <x:v>43402</x:v>
      </x:c>
      <x:c r="I326" s="40" t="n">
        <x:v>6</x:v>
      </x:c>
      <x:c r="J326" s="33" t="str">
        <x:v>Marché subséquent</x:v>
      </x:c>
      <x:c r="K326" s="33" t="str">
        <x:v>Appel d'offres ouvert</x:v>
      </x:c>
      <x:c r="L326" s="33" t="str">
        <x:v>Ferme</x:v>
      </x:c>
      <x:c r="M326" s="33" t="str">
        <x:v>(55) Meuse</x:v>
      </x:c>
      <x:c r="N326" s="33" t="str">
        <x:v>Oui</x:v>
      </x:c>
      <x:c r="O326" s="33" t="str">
        <x:v>data.gouv.fr_aife</x:v>
      </x:c>
      <x:c r="P326" s="33" t="str">
        <x:v>2018100013150000</x:v>
      </x:c>
    </x:row>
    <x:row r="327">
      <x:c r="A327" s="33" t="str">
        <x:v>2018130013804000</x:v>
      </x:c>
      <x:c r="B327" s="33" t="str">
        <x:v>"MINARM / SCA / PFC RBT / CIEC - Centre interarmées du soutien équipements commissariat"""""</x:v>
      </x:c>
      <x:c r="C327" s="33" t="str">
        <x:v>SEYNTEX SA</x:v>
      </x:c>
      <x:c r="D327" s="33" t="str">
        <x:v>Combinaisons thermostables "marine nationale" et "gendarmerie maritime", pochettes et sangles pour complétifs de combat. - POCHETTES ET SANGLES</x:v>
      </x:c>
      <x:c r="E327" s="33" t="str">
        <x:v>Combinaisons.</x:v>
      </x:c>
      <x:c r="F327" s="36" t="n">
        <x:v>3780000</x:v>
      </x:c>
      <x:c r="G327" s="38" t="n">
        <x:v>43402</x:v>
      </x:c>
      <x:c r="H327" s="38" t="n">
        <x:v>43402</x:v>
      </x:c>
      <x:c r="I327" s="40" t="n">
        <x:v>84</x:v>
      </x:c>
      <x:c r="J327" s="33" t="str"/>
      <x:c r="K327" s="33" t="str"/>
      <x:c r="L327" s="33" t="str">
        <x:v>Révisable</x:v>
      </x:c>
      <x:c r="M327" s="33" t="str">
        <x:v>(78) Yvelines</x:v>
      </x:c>
      <x:c r="N327" s="33" t="str">
        <x:v>Oui</x:v>
      </x:c>
      <x:c r="O327" s="33" t="str">
        <x:v>data.gouv.fr_aife</x:v>
      </x:c>
      <x:c r="P327" s="33" t="str">
        <x:v>2018130013804000</x:v>
      </x:c>
    </x:row>
    <x:row r="328">
      <x:c r="A328" s="33" t="str">
        <x:v>20182018F0007400</x:v>
      </x:c>
      <x:c r="B328" s="33" t="str">
        <x:v>MINARM / SCA / PFC RBT - Plate-forme commissariat Rambouillet</x:v>
      </x:c>
      <x:c r="C328" s="33" t="str">
        <x:v>SEYNTEX</x:v>
      </x:c>
      <x:c r="D328" s="33" t="str">
        <x:v>Fabrication de combinaisons thermostables "marine nationale" et "gendarmerie maritime", pochettes et sangles pour complétifs de combat.</x:v>
      </x:c>
      <x:c r="E328" s="33" t="str">
        <x:v>Combinaisons.</x:v>
      </x:c>
      <x:c r="F328" s="36" t="n">
        <x:v>33000000</x:v>
      </x:c>
      <x:c r="G328" s="38" t="n">
        <x:v>43402</x:v>
      </x:c>
      <x:c r="H328" s="38" t="n">
        <x:v>43402</x:v>
      </x:c>
      <x:c r="I328" s="40" t="n">
        <x:v>84</x:v>
      </x:c>
      <x:c r="J328" s="33" t="str">
        <x:v>Accord-cadre</x:v>
      </x:c>
      <x:c r="K328" s="33" t="str"/>
      <x:c r="L328" s="33" t="str"/>
      <x:c r="M328" s="33" t="str">
        <x:v>(78) Yvelines</x:v>
      </x:c>
      <x:c r="N328" s="33" t="str">
        <x:v>Oui</x:v>
      </x:c>
      <x:c r="O328" s="33" t="str">
        <x:v>data.gouv.fr_aife</x:v>
      </x:c>
      <x:c r="P328" s="33" t="str">
        <x:v>20182018F0007400</x:v>
      </x:c>
    </x:row>
    <x:row r="329">
      <x:c r="A329" s="33" t="str">
        <x:v>2018170008989000</x:v>
      </x:c>
      <x:c r="B329" s="33" t="str">
        <x:v>MINARM / DIRISI - Direction Interarmées des Réseaux d'Infrastructure et des Systèmes d'Information de la défense</x:v>
      </x:c>
      <x:c r="C329" s="33" t="str">
        <x:v>ACQUITEK</x:v>
      </x:c>
      <x:c r="D329" s="33" t="str">
        <x:v>Acquisition d’un enregistreur rf large bande</x:v>
      </x:c>
      <x:c r="E329" s="33" t="str">
        <x:v>Matériel de traitement de l'information.</x:v>
      </x:c>
      <x:c r="F329" s="36" t="n">
        <x:v>127627</x:v>
      </x:c>
      <x:c r="G329" s="38" t="n">
        <x:v>43402</x:v>
      </x:c>
      <x:c r="H329" s="38" t="n">
        <x:v>43402</x:v>
      </x:c>
      <x:c r="I329" s="40" t="n">
        <x:v>36</x:v>
      </x:c>
      <x:c r="J329" s="33" t="str">
        <x:v>Marché</x:v>
      </x:c>
      <x:c r="K329" s="33" t="str">
        <x:v>Appel d'offres ouvert</x:v>
      </x:c>
      <x:c r="L329" s="33" t="str">
        <x:v>Ferme</x:v>
      </x:c>
      <x:c r="M329" s="33" t="str">
        <x:v>(35) Ille-et-Vilaine</x:v>
      </x:c>
      <x:c r="N329" s="33" t="str">
        <x:v>Oui</x:v>
      </x:c>
      <x:c r="O329" s="33" t="str">
        <x:v>data.gouv.fr_aife</x:v>
      </x:c>
      <x:c r="P329" s="33" t="str">
        <x:v>2018170008989000</x:v>
      </x:c>
    </x:row>
    <x:row r="330">
      <x:c r="A330" s="33" t="str">
        <x:v>2018150878489300</x:v>
      </x:c>
      <x:c r="B330" s="33" t="str">
        <x:v>MINARM / SGA / SID / ESID Rennes - Etablissement du service d'infrastructure de la défense de Rennes - ESID Rennes</x:v>
      </x:c>
      <x:c r="C330" s="33" t="str">
        <x:v>BOUYGUES ENERGIES &amp; SERVICES</x:v>
      </x:c>
      <x:c r="D330" s="33" t="str">
        <x:v>VAL DE REUIL (27) DGA Th Mise à hauteur de la protection du site : Travaux d'aménagement</x:v>
      </x:c>
      <x:c r="E330" s="33" t="str">
        <x:v>Travaux de construction de bâtiments.</x:v>
      </x:c>
      <x:c r="F330" s="36" t="n">
        <x:v>307864</x:v>
      </x:c>
      <x:c r="G330" s="38" t="n">
        <x:v>43402</x:v>
      </x:c>
      <x:c r="H330" s="38" t="n">
        <x:v>43402</x:v>
      </x:c>
      <x:c r="I330" s="40" t="n">
        <x:v>18</x:v>
      </x:c>
      <x:c r="J330" s="33" t="str"/>
      <x:c r="K330" s="33" t="str"/>
      <x:c r="L330" s="33" t="str"/>
      <x:c r="M330" s="33" t="str">
        <x:v>(35) Ille-et-Vilaine</x:v>
      </x:c>
      <x:c r="N330" s="33" t="str">
        <x:v>Oui</x:v>
      </x:c>
      <x:c r="O330" s="33" t="str">
        <x:v>data.gouv.fr_aife</x:v>
      </x:c>
      <x:c r="P330" s="33" t="str">
        <x:v>2018150878489300</x:v>
      </x:c>
    </x:row>
    <x:row r="331">
      <x:c r="A331" s="33" t="str">
        <x:v>2018150912405100</x:v>
      </x:c>
      <x:c r="B331" s="33" t="str">
        <x:v>MINARM / SGA / SID / ESID Metz - Etablissement du service d'infrastructure de la défense de Metz - ESID Metz</x:v>
      </x:c>
      <x:c r="C331" s="33" t="str">
        <x:v>ABUS LEVAGE FRANCE</x:v>
      </x:c>
      <x:c r="D331" s="33" t="str">
        <x:v>2018-USID02-017 Base de défense de Strasbourg-Haguenau (Bas-Rhin)- Maintenance préventive et maintenance corrective palliative (dépannage) des appareils de manutention</x:v>
      </x:c>
      <x:c r="E331" s="33" t="str"/>
      <x:c r="F331" s="36" t="n">
        <x:v>46566</x:v>
      </x:c>
      <x:c r="G331" s="38" t="n">
        <x:v>43402</x:v>
      </x:c>
      <x:c r="H331" s="38" t="n">
        <x:v>43402</x:v>
      </x:c>
      <x:c r="I331" s="40" t="n">
        <x:v>48</x:v>
      </x:c>
      <x:c r="J331" s="33" t="str">
        <x:v>Marché</x:v>
      </x:c>
      <x:c r="K331" s="33" t="str">
        <x:v>Appel d'offres ouvert</x:v>
      </x:c>
      <x:c r="L331" s="33" t="str">
        <x:v>Révisable</x:v>
      </x:c>
      <x:c r="M331" s="33" t="str">
        <x:v>(67) Bas-Rhin</x:v>
      </x:c>
      <x:c r="N331" s="33" t="str">
        <x:v>Oui</x:v>
      </x:c>
      <x:c r="O331" s="33" t="str">
        <x:v>data.gouv.fr_aife</x:v>
      </x:c>
      <x:c r="P331" s="33" t="str">
        <x:v>2018150912405100</x:v>
      </x:c>
    </x:row>
    <x:row r="332">
      <x:c r="A332" s="33" t="str">
        <x:v>2018120005835400</x:v>
      </x:c>
      <x:c r="B332" s="33" t="str">
        <x:v>MINARM / SCA / PFC Sud - Plate-forme commissariat Sud (Toulon)</x:v>
      </x:c>
      <x:c r="C332" s="33" t="str">
        <x:v>ASCO. ENVIRONNEMENT</x:v>
      </x:c>
      <x:c r="D332" s="33" t="str">
        <x:v>Prestations dentretien des espaces extérieurs des établissements soutenus par la Base de Défense de Marseille-Aubagne. - Prestations d'entretien des espaces extérieurs du château St Victor.</x:v>
      </x:c>
      <x:c r="E332" s="33" t="str">
        <x:v>Réalisation et entretien d'espaces verts.</x:v>
      </x:c>
      <x:c r="F332" s="36" t="n">
        <x:v>24980</x:v>
      </x:c>
      <x:c r="G332" s="38" t="n">
        <x:v>43402</x:v>
      </x:c>
      <x:c r="H332" s="38" t="n">
        <x:v>43402</x:v>
      </x:c>
      <x:c r="I332" s="40" t="n">
        <x:v>36</x:v>
      </x:c>
      <x:c r="J332" s="33" t="str">
        <x:v>Marché</x:v>
      </x:c>
      <x:c r="K332" s="33" t="str">
        <x:v>Appel d'offres ouvert</x:v>
      </x:c>
      <x:c r="L332" s="33" t="str">
        <x:v>Ferme</x:v>
      </x:c>
      <x:c r="M332" s="33" t="str">
        <x:v>(13) Bouches-du-Rhône</x:v>
      </x:c>
      <x:c r="N332" s="33" t="str">
        <x:v>Oui</x:v>
      </x:c>
      <x:c r="O332" s="33" t="str">
        <x:v>data.gouv.fr_aife</x:v>
      </x:c>
      <x:c r="P332" s="33" t="str">
        <x:v>2018120005835400</x:v>
      </x:c>
    </x:row>
    <x:row r="333">
      <x:c r="A333" s="33" t="str">
        <x:v>2018150905410400</x:v>
      </x:c>
      <x:c r="B333" s="33" t="str">
        <x:v>MINARM / SSF / DSSF Brest - Direction du service de soutien de la flotte de Brest - DSSF Brest</x:v>
      </x:c>
      <x:c r="C333" s="33" t="str">
        <x:v>LOGNAV-CM</x:v>
      </x:c>
      <x:c r="D333" s="33" t="str">
        <x:v>Approvisionnement de bandes pour style de marque Thalès ou équivalent au profit des bâtiments de la Marine Nationale</x:v>
      </x:c>
      <x:c r="E333" s="33" t="str">
        <x:v>Pièces de rechange pour coque et pièces mécaniques pour navires de guerre.</x:v>
      </x:c>
      <x:c r="F333" s="36" t="n">
        <x:v>26728</x:v>
      </x:c>
      <x:c r="G333" s="38" t="n">
        <x:v>43402</x:v>
      </x:c>
      <x:c r="H333" s="38" t="n">
        <x:v>43402</x:v>
      </x:c>
      <x:c r="I333" s="40" t="n">
        <x:v>10</x:v>
      </x:c>
      <x:c r="J333" s="33" t="str">
        <x:v>Marché</x:v>
      </x:c>
      <x:c r="K333" s="33" t="str">
        <x:v>Procédure adaptée</x:v>
      </x:c>
      <x:c r="L333" s="33" t="str">
        <x:v>Ferme</x:v>
      </x:c>
      <x:c r="M333" s="33" t="str">
        <x:v>(29) Finistère</x:v>
      </x:c>
      <x:c r="N333" s="33" t="str">
        <x:v>Oui</x:v>
      </x:c>
      <x:c r="O333" s="33" t="str">
        <x:v>data.gouv.fr_aife</x:v>
      </x:c>
      <x:c r="P333" s="33" t="str">
        <x:v>2018150905410400</x:v>
      </x:c>
    </x:row>
    <x:row r="334">
      <x:c r="A334" s="33" t="str">
        <x:v>2018150905411800</x:v>
      </x:c>
      <x:c r="B334" s="33" t="str">
        <x:v>MINARM / SSF / DSSF Brest - Direction du service de soutien de la flotte de Brest - DSSF Brest</x:v>
      </x:c>
      <x:c r="C334" s="33" t="str">
        <x:v>LOGNAV-CM</x:v>
      </x:c>
      <x:c r="D334" s="33" t="str">
        <x:v>Approvisionnement de presses étoupes de marque Cooper Capri ou équivalent au profit des bâtiments de la Marine Nationale</x:v>
      </x:c>
      <x:c r="E334" s="33" t="str">
        <x:v>Pièces de rechange pour coque et pièces mécaniques pour navires de guerre.</x:v>
      </x:c>
      <x:c r="F334" s="36" t="n">
        <x:v>9436</x:v>
      </x:c>
      <x:c r="G334" s="38" t="n">
        <x:v>43402</x:v>
      </x:c>
      <x:c r="H334" s="38" t="n">
        <x:v>43402</x:v>
      </x:c>
      <x:c r="I334" s="40" t="n">
        <x:v>1</x:v>
      </x:c>
      <x:c r="J334" s="33" t="str">
        <x:v>Marché</x:v>
      </x:c>
      <x:c r="K334" s="33" t="str">
        <x:v>Procédure adaptée</x:v>
      </x:c>
      <x:c r="L334" s="33" t="str">
        <x:v>Ferme</x:v>
      </x:c>
      <x:c r="M334" s="33" t="str">
        <x:v>(29) Finistère</x:v>
      </x:c>
      <x:c r="N334" s="33" t="str">
        <x:v>Oui</x:v>
      </x:c>
      <x:c r="O334" s="33" t="str">
        <x:v>data.gouv.fr_aife</x:v>
      </x:c>
      <x:c r="P334" s="33" t="str">
        <x:v>2018150905411800</x:v>
      </x:c>
    </x:row>
    <x:row r="335">
      <x:c r="A335" s="33" t="str">
        <x:v>2018120005835300</x:v>
      </x:c>
      <x:c r="B335" s="33" t="str">
        <x:v>MINARM / SSA / DAPSA - Direction des Approvisionnements en produits de santé des armées</x:v>
      </x:c>
      <x:c r="C335" s="33" t="str">
        <x:v>HOSOKAWA MICRON BV</x:v>
      </x:c>
      <x:c r="D335" s="33" t="str">
        <x:v>Maintenance des broyeurs tamiseurs HOSOKAWA-BEPEX de la PCA</x:v>
      </x:c>
      <x:c r="E335" s="33" t="str"/>
      <x:c r="F335" s="36" t="n">
        <x:v>31000</x:v>
      </x:c>
      <x:c r="G335" s="38" t="n">
        <x:v>43402</x:v>
      </x:c>
      <x:c r="H335" s="38" t="n">
        <x:v>43402</x:v>
      </x:c>
      <x:c r="I335" s="40" t="n">
        <x:v>48</x:v>
      </x:c>
      <x:c r="J335" s="33" t="str"/>
      <x:c r="K335" s="33" t="str"/>
      <x:c r="L335" s="33" t="str"/>
      <x:c r="M335" s="33" t="str">
        <x:v>(45) Loiret</x:v>
      </x:c>
      <x:c r="N335" s="33" t="str">
        <x:v>Oui</x:v>
      </x:c>
      <x:c r="O335" s="33" t="str">
        <x:v>data.gouv.fr_aife</x:v>
      </x:c>
      <x:c r="P335" s="33" t="str">
        <x:v>2018120005835300</x:v>
      </x:c>
    </x:row>
    <x:row r="336">
      <x:c r="A336" s="33" t="str">
        <x:v>2018100013123100</x:v>
      </x:c>
      <x:c r="B336" s="33" t="str">
        <x:v>MINARM / SGA / SID / ESID IDF - Etablissement du Service d'infrastructure de la défense d'Ile de France - ESID Ile de France</x:v>
      </x:c>
      <x:c r="C336" s="33" t="str">
        <x:v>ALTEREA</x:v>
      </x:c>
      <x:c r="D336" s="33" t="str">
        <x:v>Marché public de maîtrise duvre relatif à la réhabilitation des bâtiments 418 et 420 du quartier Champrosay situés sur le site militaire TE LINAS à MONTLHERY (91). - Le marché se compose de 4 parties techniques (PT) : - PT 1 Conception APD et PRO d</x:v>
      </x:c>
      <x:c r="E336" s="33" t="str">
        <x:v>Services d'ingénierie.</x:v>
      </x:c>
      <x:c r="F336" s="36" t="n">
        <x:v>157465</x:v>
      </x:c>
      <x:c r="G336" s="38" t="n">
        <x:v>43402</x:v>
      </x:c>
      <x:c r="H336" s="38" t="n">
        <x:v>43402</x:v>
      </x:c>
      <x:c r="I336" s="40" t="n">
        <x:v>36</x:v>
      </x:c>
      <x:c r="J336" s="33" t="str">
        <x:v>Marché</x:v>
      </x:c>
      <x:c r="K336" s="33" t="str">
        <x:v>Appel d'offres ouvert</x:v>
      </x:c>
      <x:c r="L336" s="33" t="str">
        <x:v>Révisable</x:v>
      </x:c>
      <x:c r="M336" s="33" t="str">
        <x:v>(91) Essonne</x:v>
      </x:c>
      <x:c r="N336" s="33" t="str">
        <x:v>Oui</x:v>
      </x:c>
      <x:c r="O336" s="33" t="str">
        <x:v>data.gouv.fr_aife</x:v>
      </x:c>
      <x:c r="P336" s="33" t="str">
        <x:v>2018100013123100</x:v>
      </x:c>
    </x:row>
    <x:row r="337">
      <x:c r="A337" s="33" t="str">
        <x:v>2018150903888400</x:v>
      </x:c>
      <x:c r="B337" s="33" t="str">
        <x:v>MINARM / SGA / SID / ESID Metz - Etablissement du service d'infrastructure de la défense de Metz - ESID Metz</x:v>
      </x:c>
      <x:c r="C337" s="33" t="str">
        <x:v>EUROVIA CHAMPAGNE ARDENNE</x:v>
      </x:c>
      <x:c r="D337" s="33" t="str">
        <x:v>SEMOUTIERS (52) – 61°RA – Cercle mixte - Aménagement extérieur</x:v>
      </x:c>
      <x:c r="E337" s="33" t="str">
        <x:v>Travaux de revêtement divers.</x:v>
      </x:c>
      <x:c r="F337" s="36" t="n">
        <x:v>69496</x:v>
      </x:c>
      <x:c r="G337" s="38" t="n">
        <x:v>43402</x:v>
      </x:c>
      <x:c r="H337" s="38" t="n">
        <x:v>43402</x:v>
      </x:c>
      <x:c r="I337" s="40" t="n">
        <x:v>2</x:v>
      </x:c>
      <x:c r="J337" s="33" t="str">
        <x:v>Marché</x:v>
      </x:c>
      <x:c r="K337" s="33" t="str">
        <x:v>Appel d'offres ouvert</x:v>
      </x:c>
      <x:c r="L337" s="33" t="str">
        <x:v>Ferme et actualisable</x:v>
      </x:c>
      <x:c r="M337" s="33" t="str">
        <x:v>(52) Haute-Marne</x:v>
      </x:c>
      <x:c r="N337" s="33" t="str">
        <x:v>Oui</x:v>
      </x:c>
      <x:c r="O337" s="33" t="str">
        <x:v>data.gouv.fr_aife</x:v>
      </x:c>
      <x:c r="P337" s="33" t="str">
        <x:v>2018150903888400</x:v>
      </x:c>
    </x:row>
    <x:row r="338">
      <x:c r="A338" s="33" t="str">
        <x:v>2018130013876700</x:v>
      </x:c>
      <x:c r="B338" s="33" t="str">
        <x:v>"MINARM / SCA / PFC RBT / CIEC - Centre interarmées du soutien équipements commissariat"""""</x:v>
      </x:c>
      <x:c r="C338" s="33" t="str">
        <x:v>EMINENCE</x:v>
      </x:c>
      <x:c r="D338" s="33" t="str">
        <x:v>Fabrication de caleçon long et gilet de corps thermostables</x:v>
      </x:c>
      <x:c r="E338" s="33" t="str">
        <x:v>Sous-vêtements.</x:v>
      </x:c>
      <x:c r="F338" s="36" t="n">
        <x:v>186000</x:v>
      </x:c>
      <x:c r="G338" s="38" t="n">
        <x:v>43402</x:v>
      </x:c>
      <x:c r="H338" s="38" t="n">
        <x:v>43402</x:v>
      </x:c>
      <x:c r="I338" s="40" t="n">
        <x:v>48</x:v>
      </x:c>
      <x:c r="J338" s="33" t="str"/>
      <x:c r="K338" s="33" t="str"/>
      <x:c r="L338" s="33" t="str"/>
      <x:c r="M338" s="33" t="str">
        <x:v>(78) Yvelines</x:v>
      </x:c>
      <x:c r="N338" s="33" t="str">
        <x:v>Oui</x:v>
      </x:c>
      <x:c r="O338" s="33" t="str">
        <x:v>data.gouv.fr_aife</x:v>
      </x:c>
      <x:c r="P338" s="33" t="str">
        <x:v>2018130013876700</x:v>
      </x:c>
    </x:row>
    <x:row r="339">
      <x:c r="A339" s="33" t="str">
        <x:v>2018100013138400</x:v>
      </x:c>
      <x:c r="B339" s="33" t="str">
        <x:v>MINARM / SSF / DSSF Toulon - Direction du service de soutien de la flotte de Toulon - DSSF Toulon</x:v>
      </x:c>
      <x:c r="C339" s="33" t="str">
        <x:v>MEGA SARL</x:v>
      </x:c>
      <x:c r="D339" s="33" t="str">
        <x:v>Accord cadre N° 2016 M 16 T 20 010 relatif à l’approvisionnement de matériels électriques et électroniques pour le maintien en condition opérationnelle (MCO) des Eléments de Force Maritime (EFM) et des Eléments de Force Armées (EFA). -</x:v>
      </x:c>
      <x:c r="E339" s="33" t="str">
        <x:v>Pièces électroniques et électriques de rechange pour navires de guerre.</x:v>
      </x:c>
      <x:c r="F339" s="36" t="n">
        <x:v>4304</x:v>
      </x:c>
      <x:c r="G339" s="38" t="n">
        <x:v>43402</x:v>
      </x:c>
      <x:c r="H339" s="38" t="n">
        <x:v>43402</x:v>
      </x:c>
      <x:c r="I339" s="40" t="n">
        <x:v>6</x:v>
      </x:c>
      <x:c r="J339" s="33" t="str">
        <x:v>Marché subséquent</x:v>
      </x:c>
      <x:c r="K339" s="33" t="str">
        <x:v>Appel d'offres ouvert</x:v>
      </x:c>
      <x:c r="L339" s="33" t="str">
        <x:v>Ferme et actualisable</x:v>
      </x:c>
      <x:c r="M339" s="33" t="str">
        <x:v>(83) Var</x:v>
      </x:c>
      <x:c r="N339" s="33" t="str">
        <x:v>Oui</x:v>
      </x:c>
      <x:c r="O339" s="33" t="str">
        <x:v>data.gouv.fr_aife</x:v>
      </x:c>
      <x:c r="P339" s="33" t="str">
        <x:v>2018100013138400</x:v>
      </x:c>
    </x:row>
    <x:row r="340">
      <x:c r="A340" s="33" t="str">
        <x:v>2018100013141200</x:v>
      </x:c>
      <x:c r="B340" s="33" t="str">
        <x:v>MINARM / SSF / DSSF Toulon - Direction du service de soutien de la flotte de Toulon - DSSF Toulon</x:v>
      </x:c>
      <x:c r="C340" s="33" t="str">
        <x:v>MEGA SARL</x:v>
      </x:c>
      <x:c r="D340" s="33" t="str">
        <x:v>Accord cadre N° 2016M16T20003 relatif à la fourniture de matériels de quincaillerie et d'outillage naval. - Marché subséquent : N° K18T2000348 relatif à la fourniture de divers matériels de quincaillerie de diverses marques ou équivalent. -</x:v>
      </x:c>
      <x:c r="E340" s="33" t="str">
        <x:v>Quincaillerie.</x:v>
      </x:c>
      <x:c r="F340" s="36" t="n">
        <x:v>6012</x:v>
      </x:c>
      <x:c r="G340" s="38" t="n">
        <x:v>43402</x:v>
      </x:c>
      <x:c r="H340" s="38" t="n">
        <x:v>43402</x:v>
      </x:c>
      <x:c r="I340" s="40" t="n">
        <x:v>4</x:v>
      </x:c>
      <x:c r="J340" s="33" t="str">
        <x:v>Marché subséquent</x:v>
      </x:c>
      <x:c r="K340" s="33" t="str">
        <x:v>Appel d'offres ouvert</x:v>
      </x:c>
      <x:c r="L340" s="33" t="str">
        <x:v>Ferme et actualisable</x:v>
      </x:c>
      <x:c r="M340" s="33" t="str">
        <x:v>(83) Var</x:v>
      </x:c>
      <x:c r="N340" s="33" t="str">
        <x:v>Oui</x:v>
      </x:c>
      <x:c r="O340" s="33" t="str">
        <x:v>data.gouv.fr_aife</x:v>
      </x:c>
      <x:c r="P340" s="33" t="str">
        <x:v>2018100013141200</x:v>
      </x:c>
    </x:row>
    <x:row r="341">
      <x:c r="A341" s="33" t="str">
        <x:v>2018110004301000</x:v>
      </x:c>
      <x:c r="B341" s="33" t="str">
        <x:v>MINARM / SGA / SID / ESID Rennes - Etablissement du service d'infrastructure de la défense de Rennes - ESID Rennes</x:v>
      </x:c>
      <x:c r="C341" s="33" t="str">
        <x:v>INEO DEFENSE</x:v>
      </x:c>
      <x:c r="D341" s="33" t="str">
        <x:v>Val de Rueil (27) - DGA TH - Mise à hauteur de la protection du site - Réalisation de dispositifs de sécurité et controle d'accès</x:v>
      </x:c>
      <x:c r="E341" s="33" t="str">
        <x:v>Modernisation d'installations.</x:v>
      </x:c>
      <x:c r="F341" s="36" t="n">
        <x:v>2618923</x:v>
      </x:c>
      <x:c r="G341" s="38" t="n">
        <x:v>43402</x:v>
      </x:c>
      <x:c r="H341" s="38" t="n">
        <x:v>43402</x:v>
      </x:c>
      <x:c r="I341" s="40" t="n">
        <x:v>18</x:v>
      </x:c>
      <x:c r="J341" s="33" t="str"/>
      <x:c r="K341" s="33" t="str"/>
      <x:c r="L341" s="33" t="str"/>
      <x:c r="M341" s="33" t="str">
        <x:v>(35) Ille-et-Vilaine</x:v>
      </x:c>
      <x:c r="N341" s="33" t="str">
        <x:v>Oui</x:v>
      </x:c>
      <x:c r="O341" s="33" t="str">
        <x:v>data.gouv.fr_aife</x:v>
      </x:c>
      <x:c r="P341" s="33" t="str">
        <x:v>2018110004301000</x:v>
      </x:c>
    </x:row>
    <x:row r="342">
      <x:c r="A342" s="33" t="str">
        <x:v>2018100013138500</x:v>
      </x:c>
      <x:c r="B342" s="33" t="str">
        <x:v>MINARM / SGA / SID / ESID BREST - Etablissement du service d'infrastructure de la défense de BREST - ESID Brest</x:v>
      </x:c>
      <x:c r="C342" s="33" t="str">
        <x:v>ADRE RESEAUX</x:v>
      </x:c>
      <x:c r="D342" s="33" t="str">
        <x:v>Marché subséquent N°3244 à l'Accord-Cadre à Marchés Subséquents pour la réalisation de détections non intrusives et de géo référencement des réseaux enterrés dans les départements 22, 29 et 56. Périmètre de l'ESID de Brest. - BREST - Plateau de Kéroriou -</x:v>
      </x:c>
      <x:c r="E342" s="33" t="str">
        <x:v>Services topographiques.</x:v>
      </x:c>
      <x:c r="F342" s="36" t="n">
        <x:v>10967</x:v>
      </x:c>
      <x:c r="G342" s="38" t="n">
        <x:v>43402</x:v>
      </x:c>
      <x:c r="H342" s="38" t="n">
        <x:v>43402</x:v>
      </x:c>
      <x:c r="I342" s="40" t="n">
        <x:v>2</x:v>
      </x:c>
      <x:c r="J342" s="33" t="str">
        <x:v>Marché subséquent</x:v>
      </x:c>
      <x:c r="K342" s="33" t="str">
        <x:v>Appel d'offres ouvert</x:v>
      </x:c>
      <x:c r="L342" s="33" t="str">
        <x:v>Révisable</x:v>
      </x:c>
      <x:c r="M342" s="33" t="str">
        <x:v>(29) Finistère</x:v>
      </x:c>
      <x:c r="N342" s="33" t="str">
        <x:v>Oui</x:v>
      </x:c>
      <x:c r="O342" s="33" t="str">
        <x:v>data.gouv.fr_aife</x:v>
      </x:c>
      <x:c r="P342" s="33" t="str">
        <x:v>2018100013138500</x:v>
      </x:c>
    </x:row>
    <x:row r="343">
      <x:c r="A343" s="33" t="str">
        <x:v>2018150904683900</x:v>
      </x:c>
      <x:c r="B343" s="33" t="str">
        <x:v>MINARM / SGA / SID / ESID BREST - Etablissement du service d'infrastructure de la défense de BREST - ESID Brest</x:v>
      </x:c>
      <x:c r="C343" s="33" t="str">
        <x:v>AXS INGENIERIE</x:v>
      </x:c>
      <x:c r="D343" s="33" t="str">
        <x:v>Base Navale de Brest (29) - Evaluation de la descente des charges de la grue future du Bassin 8 - Couple 120t/40m sous agressions</x:v>
      </x:c>
      <x:c r="E343" s="33" t="str">
        <x:v>Services d'ingénierie.</x:v>
      </x:c>
      <x:c r="F343" s="36" t="n">
        <x:v>45360</x:v>
      </x:c>
      <x:c r="G343" s="38" t="n">
        <x:v>43402</x:v>
      </x:c>
      <x:c r="H343" s="38" t="n">
        <x:v>43402</x:v>
      </x:c>
      <x:c r="I343" s="40" t="n">
        <x:v>41</x:v>
      </x:c>
      <x:c r="J343" s="33" t="str">
        <x:v>Marché</x:v>
      </x:c>
      <x:c r="K343" s="33" t="str"/>
      <x:c r="L343" s="33" t="str">
        <x:v>Ferme</x:v>
      </x:c>
      <x:c r="M343" s="33" t="str">
        <x:v>(29) Finistère</x:v>
      </x:c>
      <x:c r="N343" s="33" t="str">
        <x:v>Oui</x:v>
      </x:c>
      <x:c r="O343" s="33" t="str">
        <x:v>data.gouv.fr_aife</x:v>
      </x:c>
      <x:c r="P343" s="33" t="str">
        <x:v>2018150904683900</x:v>
      </x:c>
    </x:row>
    <x:row r="344">
      <x:c r="A344" s="33" t="str">
        <x:v>2018150907313200</x:v>
      </x:c>
      <x:c r="B344" s="33" t="str">
        <x:v>MINARM / SGA / SID / ESID Metz - Etablissement du service d'infrastructure de la défense de Metz - ESID Metz</x:v>
      </x:c>
      <x:c r="C344" s="33" t="str">
        <x:v>GROUPE SIBLER SARL</x:v>
      </x:c>
      <x:c r="D344" s="33" t="str">
        <x:v>2018-USID02-18S/864 ILLKIRCH (BAS-RHIN)-Quartier Leclerc-IRemplacement des portes extérieures d'accès en RDC en pignons des bâtiments 006 à 011</x:v>
      </x:c>
      <x:c r="E344" s="33" t="str">
        <x:v>Portes-fenêtres.</x:v>
      </x:c>
      <x:c r="F344" s="36" t="n">
        <x:v>39080</x:v>
      </x:c>
      <x:c r="G344" s="38" t="n">
        <x:v>43402</x:v>
      </x:c>
      <x:c r="H344" s="38" t="n">
        <x:v>43402</x:v>
      </x:c>
      <x:c r="I344" s="40" t="n">
        <x:v>4</x:v>
      </x:c>
      <x:c r="J344" s="33" t="str">
        <x:v>Marché</x:v>
      </x:c>
      <x:c r="K344" s="33" t="str">
        <x:v>Appel d'offres ouvert</x:v>
      </x:c>
      <x:c r="L344" s="33" t="str">
        <x:v>Ferme</x:v>
      </x:c>
      <x:c r="M344" s="33" t="str">
        <x:v>(67) Bas-Rhin</x:v>
      </x:c>
      <x:c r="N344" s="33" t="str">
        <x:v>Oui</x:v>
      </x:c>
      <x:c r="O344" s="33" t="str">
        <x:v>data.gouv.fr_aife</x:v>
      </x:c>
      <x:c r="P344" s="33" t="str">
        <x:v>2018150907313200</x:v>
      </x:c>
    </x:row>
    <x:row r="345">
      <x:c r="A345" s="33" t="str">
        <x:v>2018130013874300</x:v>
      </x:c>
      <x:c r="B345" s="33" t="str">
        <x:v>"MINARM / SCA / PFC RBT / CIEC - Centre interarmées du soutien équipements commissariat"""""</x:v>
      </x:c>
      <x:c r="C345" s="33" t="str">
        <x:v>LEO MINOR</x:v>
      </x:c>
      <x:c r="D345" s="33" t="str">
        <x:v>Fabrication de sous-vêtement haut climat chaud manches courtes et manches longues</x:v>
      </x:c>
      <x:c r="E345" s="33" t="str">
        <x:v>Sous-vêtements.</x:v>
      </x:c>
      <x:c r="F345" s="36" t="n">
        <x:v>120000</x:v>
      </x:c>
      <x:c r="G345" s="38" t="n">
        <x:v>43402</x:v>
      </x:c>
      <x:c r="H345" s="38" t="n">
        <x:v>43402</x:v>
      </x:c>
      <x:c r="I345" s="40" t="n">
        <x:v>48</x:v>
      </x:c>
      <x:c r="J345" s="33" t="str"/>
      <x:c r="K345" s="33" t="str"/>
      <x:c r="L345" s="33" t="str"/>
      <x:c r="M345" s="33" t="str">
        <x:v>(78) Yvelines</x:v>
      </x:c>
      <x:c r="N345" s="33" t="str">
        <x:v>Oui</x:v>
      </x:c>
      <x:c r="O345" s="33" t="str">
        <x:v>data.gouv.fr_aife</x:v>
      </x:c>
      <x:c r="P345" s="33" t="str">
        <x:v>2018130013874300</x:v>
      </x:c>
    </x:row>
    <x:row r="346">
      <x:c r="A346" s="33" t="str">
        <x:v>20182018S0007300</x:v>
      </x:c>
      <x:c r="B346" s="33" t="str">
        <x:v>MINARM / SIAé - Service industriel de l'aéronautique</x:v>
      </x:c>
      <x:c r="C346" s="33" t="str">
        <x:v>AERO 13</x:v>
      </x:c>
      <x:c r="D346" s="33" t="str">
        <x:v>17128 - Sous-traitance de réparation en chaudronnerie aéronautique des capots moteurs de l'hélicoptère PUMA au profit de l'AIA de Clermont-Ferrand - BAFO</x:v>
      </x:c>
      <x:c r="E346" s="33" t="str">
        <x:v>Services de réparation et d'entretien d'aéronefs.</x:v>
      </x:c>
      <x:c r="F346" s="36" t="n">
        <x:v>490000</x:v>
      </x:c>
      <x:c r="G346" s="38" t="n">
        <x:v>43402</x:v>
      </x:c>
      <x:c r="H346" s="38" t="n">
        <x:v>43402</x:v>
      </x:c>
      <x:c r="I346" s="40" t="n">
        <x:v>36</x:v>
      </x:c>
      <x:c r="J346" s="33" t="str">
        <x:v>Accord-cadre</x:v>
      </x:c>
      <x:c r="K346" s="33" t="str"/>
      <x:c r="L346" s="33" t="str">
        <x:v>Révisable</x:v>
      </x:c>
      <x:c r="M346" s="33" t="str">
        <x:v>(63) Puy-de-Dôme</x:v>
      </x:c>
      <x:c r="N346" s="33" t="str">
        <x:v>Oui</x:v>
      </x:c>
      <x:c r="O346" s="33" t="str">
        <x:v>data.gouv.fr_aife</x:v>
      </x:c>
      <x:c r="P346" s="33" t="str">
        <x:v>20182018S0007300</x:v>
      </x:c>
    </x:row>
    <x:row r="347">
      <x:c r="A347" s="33" t="str">
        <x:v>2018150905412900</x:v>
      </x:c>
      <x:c r="B347" s="33" t="str">
        <x:v>MINARM / SSF / DSSF Brest - Direction du service de soutien de la flotte de Brest - DSSF Brest</x:v>
      </x:c>
      <x:c r="C347" s="33" t="str">
        <x:v>TRIPARTITE</x:v>
      </x:c>
      <x:c r="D347" s="33" t="str">
        <x:v>Approvisionnement d'un flotteur de marque Zodiac ou équivalent au profit des bâtiments de la Marine Nationale</x:v>
      </x:c>
      <x:c r="E347" s="33" t="str">
        <x:v>Pièces de rechange pour coque et pièces mécaniques pour navires de guerre.</x:v>
      </x:c>
      <x:c r="F347" s="36" t="n">
        <x:v>12173</x:v>
      </x:c>
      <x:c r="G347" s="38" t="n">
        <x:v>43402</x:v>
      </x:c>
      <x:c r="H347" s="38" t="n">
        <x:v>43402</x:v>
      </x:c>
      <x:c r="I347" s="40" t="n">
        <x:v>5</x:v>
      </x:c>
      <x:c r="J347" s="33" t="str">
        <x:v>Marché</x:v>
      </x:c>
      <x:c r="K347" s="33" t="str">
        <x:v>Procédure adaptée</x:v>
      </x:c>
      <x:c r="L347" s="33" t="str">
        <x:v>Ferme</x:v>
      </x:c>
      <x:c r="M347" s="33" t="str">
        <x:v>(29) Finistère</x:v>
      </x:c>
      <x:c r="N347" s="33" t="str">
        <x:v>Oui</x:v>
      </x:c>
      <x:c r="O347" s="33" t="str">
        <x:v>data.gouv.fr_aife</x:v>
      </x:c>
      <x:c r="P347" s="33" t="str">
        <x:v>2018150905412900</x:v>
      </x:c>
    </x:row>
    <x:row r="348">
      <x:c r="A348" s="33" t="str">
        <x:v>2018130013865800</x:v>
      </x:c>
      <x:c r="B348" s="33" t="str">
        <x:v>MINARM / SSA / DAPSA - Direction des Approvisionnements en produits de santé des armées</x:v>
      </x:c>
      <x:c r="C348" s="33" t="str">
        <x:v>GAMIDA SA</x:v>
      </x:c>
      <x:c r="D348" s="33" t="str">
        <x:v>Fourniture de Dispositifs de surveillance et de mesure de marque Fluke Biomédical</x:v>
      </x:c>
      <x:c r="E348" s="33" t="str">
        <x:v>Appareils de contrôle et d'essai.</x:v>
      </x:c>
      <x:c r="F348" s="36" t="n">
        <x:v>74229</x:v>
      </x:c>
      <x:c r="G348" s="38" t="n">
        <x:v>43402</x:v>
      </x:c>
      <x:c r="H348" s="38" t="n">
        <x:v>43402</x:v>
      </x:c>
      <x:c r="I348" s="40" t="n">
        <x:v>14</x:v>
      </x:c>
      <x:c r="J348" s="33" t="str">
        <x:v>Accord-cadre</x:v>
      </x:c>
      <x:c r="K348" s="33" t="str"/>
      <x:c r="L348" s="33" t="str">
        <x:v>Ferme</x:v>
      </x:c>
      <x:c r="M348" s="33" t="str">
        <x:v>(45) Loiret</x:v>
      </x:c>
      <x:c r="N348" s="33" t="str">
        <x:v>Oui</x:v>
      </x:c>
      <x:c r="O348" s="33" t="str">
        <x:v>data.gouv.fr_aife</x:v>
      </x:c>
      <x:c r="P348" s="33" t="str">
        <x:v>2018130013865800</x:v>
      </x:c>
    </x:row>
    <x:row r="349">
      <x:c r="A349" s="33" t="str">
        <x:v>2018130013951700</x:v>
      </x:c>
      <x:c r="B349" s="33" t="str">
        <x:v>MINARM / SGA / SID / ESID Rennes - Etablissement du service d'infrastructure de la défense de Rennes - ESID Rennes</x:v>
      </x:c>
      <x:c r="C349" s="33" t="str">
        <x:v>BERDEAUX*ERIC/</x:v>
      </x:c>
      <x:c r="D349" s="33" t="str">
        <x:v>Base de Défense d'Evreux - Départements 27 - 28 - 76 et 80 - Travaux de maintenance et de sécurité des toitures</x:v>
      </x:c>
      <x:c r="E349" s="33" t="str">
        <x:v>Réparation et entretien de toiture</x:v>
      </x:c>
      <x:c r="F349" s="36" t="n">
        <x:v>800000</x:v>
      </x:c>
      <x:c r="G349" s="38" t="n">
        <x:v>43403</x:v>
      </x:c>
      <x:c r="H349" s="38" t="n">
        <x:v>43403</x:v>
      </x:c>
      <x:c r="I349" s="40" t="n">
        <x:v>48</x:v>
      </x:c>
      <x:c r="J349" s="33" t="str">
        <x:v>Accord-cadre</x:v>
      </x:c>
      <x:c r="K349" s="33" t="str">
        <x:v>Appel d'offres ouvert</x:v>
      </x:c>
      <x:c r="L349" s="33" t="str">
        <x:v>Révisable</x:v>
      </x:c>
      <x:c r="M349" s="33" t="str">
        <x:v>(27) Eure</x:v>
      </x:c>
      <x:c r="N349" s="33" t="str">
        <x:v>Oui</x:v>
      </x:c>
      <x:c r="O349" s="33" t="str">
        <x:v>data.gouv.fr_aife</x:v>
      </x:c>
      <x:c r="P349" s="33" t="str">
        <x:v>2018130013951700</x:v>
      </x:c>
    </x:row>
    <x:row r="350">
      <x:c r="A350" s="33" t="str">
        <x:v>2018110004404000</x:v>
      </x:c>
      <x:c r="B350" s="33" t="str">
        <x:v>MINARM / DMAé - Direction de la maintenance aéronautique</x:v>
      </x:c>
      <x:c r="C350" s="33" t="str">
        <x:v>SARL NOVA SWISS</x:v>
      </x:c>
      <x:c r="D350" s="33" t="str">
        <x:v>Maintien en condition opérationnelle des surpresseurs de fabrication Nova Swiss</x:v>
      </x:c>
      <x:c r="E350" s="33" t="str">
        <x:v>Services de réparation et d'entretien de compresseurs.</x:v>
      </x:c>
      <x:c r="F350" s="36" t="n">
        <x:v>1862576</x:v>
      </x:c>
      <x:c r="G350" s="38" t="n">
        <x:v>43403</x:v>
      </x:c>
      <x:c r="H350" s="38" t="n">
        <x:v>43403</x:v>
      </x:c>
      <x:c r="I350" s="40" t="n">
        <x:v>72</x:v>
      </x:c>
      <x:c r="J350" s="33" t="str">
        <x:v>Marché</x:v>
      </x:c>
      <x:c r="K350" s="33" t="str"/>
      <x:c r="L350" s="33" t="str">
        <x:v>Ferme et actualisable</x:v>
      </x:c>
      <x:c r="M350" s="33" t="str">
        <x:v>(22) Côtes-d'Armor</x:v>
      </x:c>
      <x:c r="N350" s="33" t="str">
        <x:v>Oui</x:v>
      </x:c>
      <x:c r="O350" s="33" t="str">
        <x:v>data.gouv.fr_aife</x:v>
      </x:c>
      <x:c r="P350" s="33" t="str">
        <x:v>2018110004404000</x:v>
      </x:c>
    </x:row>
    <x:row r="351">
      <x:c r="A351" s="33" t="str">
        <x:v>2018100013146300</x:v>
      </x:c>
      <x:c r="B351" s="33" t="str">
        <x:v>MINARM / SSF / DSSF Toulon - Direction du service de soutien de la flotte de Toulon - DSSF Toulon</x:v>
      </x:c>
      <x:c r="C351" s="33" t="str">
        <x:v>LOGNAV-CM</x:v>
      </x:c>
      <x:c r="D351" s="33" t="str">
        <x:v>Accord cadre N° 2016 M 16 T 20 010 relatif à l’approvisionnement de matériels électriques et électroniques pour le maintien en condition opérationnelle (MCO) des Eléments de Force Maritime (EFM) et des Eléments de Force Armées (EFA). - Marché su</x:v>
      </x:c>
      <x:c r="E351" s="33" t="str">
        <x:v>Pièces électroniques et électriques de rechange pour navires de guerre.</x:v>
      </x:c>
      <x:c r="F351" s="36" t="n">
        <x:v>4146</x:v>
      </x:c>
      <x:c r="G351" s="38" t="n">
        <x:v>43403</x:v>
      </x:c>
      <x:c r="H351" s="38" t="n">
        <x:v>43403</x:v>
      </x:c>
      <x:c r="I351" s="40" t="n">
        <x:v>3</x:v>
      </x:c>
      <x:c r="J351" s="33" t="str">
        <x:v>Marché subséquent</x:v>
      </x:c>
      <x:c r="K351" s="33" t="str">
        <x:v>Appel d'offres ouvert</x:v>
      </x:c>
      <x:c r="L351" s="33" t="str">
        <x:v>Ferme et actualisable</x:v>
      </x:c>
      <x:c r="M351" s="33" t="str">
        <x:v>(83) Var</x:v>
      </x:c>
      <x:c r="N351" s="33" t="str">
        <x:v>Oui</x:v>
      </x:c>
      <x:c r="O351" s="33" t="str">
        <x:v>data.gouv.fr_aife</x:v>
      </x:c>
      <x:c r="P351" s="33" t="str">
        <x:v>2018100013146300</x:v>
      </x:c>
    </x:row>
    <x:row r="352">
      <x:c r="A352" s="33" t="str">
        <x:v>2018130013869400</x:v>
      </x:c>
      <x:c r="B352" s="33" t="str">
        <x:v>MINARM / SGA / SID / ESID Lyon - Etablissement du service d'infrastructure de la défense de Lyon - ESID Lyon</x:v>
      </x:c>
      <x:c r="C352" s="33" t="str">
        <x:v>BOUYGUES E&amp;S FM FRANCE</x:v>
      </x:c>
      <x:c r="D352" s="33" t="str">
        <x:v>18 GC 017 - Exploitation et maintenance préventive et corrective des installations de réseaux de chauffage, climatisation, ventilation, traitement d'air, eau chaude sanitaire, traitement et analyses d'eau de la BDD GRENOBLE-ANNECY-CHAMBERY</x:v>
      </x:c>
      <x:c r="E352" s="33" t="str">
        <x:v>Mise en état d'exploitation d'installations de chauffage.</x:v>
      </x:c>
      <x:c r="F352" s="36" t="n">
        <x:v>347959</x:v>
      </x:c>
      <x:c r="G352" s="38" t="n">
        <x:v>43403</x:v>
      </x:c>
      <x:c r="H352" s="38" t="n">
        <x:v>43403</x:v>
      </x:c>
      <x:c r="I352" s="40" t="n">
        <x:v>48</x:v>
      </x:c>
      <x:c r="J352" s="33" t="str">
        <x:v>Accord-cadre</x:v>
      </x:c>
      <x:c r="K352" s="33" t="str">
        <x:v>Appel d'offres ouvert</x:v>
      </x:c>
      <x:c r="L352" s="33" t="str">
        <x:v>Révisable</x:v>
      </x:c>
      <x:c r="M352" s="33" t="str">
        <x:v>(73) Savoie</x:v>
      </x:c>
      <x:c r="N352" s="33" t="str">
        <x:v>Oui</x:v>
      </x:c>
      <x:c r="O352" s="33" t="str">
        <x:v>data.gouv.fr_aife</x:v>
      </x:c>
      <x:c r="P352" s="33" t="str">
        <x:v>2018130013869400</x:v>
      </x:c>
    </x:row>
    <x:row r="353">
      <x:c r="A353" s="33" t="str">
        <x:v>2018120005837100</x:v>
      </x:c>
      <x:c r="B353" s="33" t="str">
        <x:v>MINARM / SCA / PFC Sud - Plate-forme commissariat Sud (Toulon)</x:v>
      </x:c>
      <x:c r="C353" s="33" t="str">
        <x:v>IDVERDE</x:v>
      </x:c>
      <x:c r="D353" s="33" t="str">
        <x:v>Prestations dentretien des espaces extérieurs des établissements soutenus par la Base de Défense de Marseille-Aubagne. - Entretien des espaces extérieurs du Quartier Rendu, du Camp de Ste Marthe, du CEPIA Ste Marthe, du COMAR, du Lycée militaire dAix</x:v>
      </x:c>
      <x:c r="E353" s="33" t="str">
        <x:v>Réalisation et entretien d'espaces verts.</x:v>
      </x:c>
      <x:c r="F353" s="36" t="n">
        <x:v>112957</x:v>
      </x:c>
      <x:c r="G353" s="38" t="n">
        <x:v>43403</x:v>
      </x:c>
      <x:c r="H353" s="38" t="n">
        <x:v>43403</x:v>
      </x:c>
      <x:c r="I353" s="40" t="n">
        <x:v>36</x:v>
      </x:c>
      <x:c r="J353" s="33" t="str">
        <x:v>Marché</x:v>
      </x:c>
      <x:c r="K353" s="33" t="str">
        <x:v>Appel d'offres ouvert</x:v>
      </x:c>
      <x:c r="L353" s="33" t="str">
        <x:v>Ferme</x:v>
      </x:c>
      <x:c r="M353" s="33" t="str">
        <x:v>(13) Bouches-du-Rhône</x:v>
      </x:c>
      <x:c r="N353" s="33" t="str">
        <x:v>Oui</x:v>
      </x:c>
      <x:c r="O353" s="33" t="str">
        <x:v>data.gouv.fr_aife</x:v>
      </x:c>
      <x:c r="P353" s="33" t="str">
        <x:v>2018120005837100</x:v>
      </x:c>
    </x:row>
    <x:row r="354">
      <x:c r="A354" s="33" t="str">
        <x:v>2018120005847000</x:v>
      </x:c>
      <x:c r="B354" s="33" t="str">
        <x:v>MINARM / SCA / PFC Sud - Plate-forme commissariat Sud (Toulon)</x:v>
      </x:c>
      <x:c r="C354" s="33" t="str">
        <x:v>OFFICE NATIONAL DES FORETS</x:v>
      </x:c>
      <x:c r="D354" s="33" t="str">
        <x:v>Prestations dentretien des espaces extérieurs des établissements soutenus par la Base de Défense de Marseille-Aubagne. - Prestations d'entretien des espaces extérieurs du 1er REC de Carpiagne, du 1er RE dAubagne, du Châle et du sémaphore de La</x:v>
      </x:c>
      <x:c r="E354" s="33" t="str">
        <x:v>Réalisation et entretien d'espaces verts.</x:v>
      </x:c>
      <x:c r="F354" s="36" t="n">
        <x:v>62723</x:v>
      </x:c>
      <x:c r="G354" s="38" t="n">
        <x:v>43403</x:v>
      </x:c>
      <x:c r="H354" s="38" t="n">
        <x:v>43403</x:v>
      </x:c>
      <x:c r="I354" s="40" t="n">
        <x:v>36</x:v>
      </x:c>
      <x:c r="J354" s="33" t="str">
        <x:v>Marché</x:v>
      </x:c>
      <x:c r="K354" s="33" t="str">
        <x:v>Appel d'offres ouvert</x:v>
      </x:c>
      <x:c r="L354" s="33" t="str">
        <x:v>Ferme</x:v>
      </x:c>
      <x:c r="M354" s="33" t="str">
        <x:v>(13) Bouches-du-Rhône</x:v>
      </x:c>
      <x:c r="N354" s="33" t="str">
        <x:v>Oui</x:v>
      </x:c>
      <x:c r="O354" s="33" t="str">
        <x:v>data.gouv.fr_aife</x:v>
      </x:c>
      <x:c r="P354" s="33" t="str">
        <x:v>2018120005847000</x:v>
      </x:c>
    </x:row>
    <x:row r="355">
      <x:c r="A355" s="33" t="str">
        <x:v>20182018T0012800</x:v>
      </x:c>
      <x:c r="B355" s="33" t="str">
        <x:v>MINARM / SGA / SID / ESID Rennes - Etablissement du service d'infrastructure de la défense de Rennes - ESID Rennes</x:v>
      </x:c>
      <x:c r="C355" s="33" t="str">
        <x:v>BERDEAUX*ERIC/</x:v>
      </x:c>
      <x:c r="D355" s="33" t="str">
        <x:v>Base de Défense d'Evreux - Départements 27-76 et 80 - Travaux de maintenance et de sécurité des toitures</x:v>
      </x:c>
      <x:c r="E355" s="33" t="str">
        <x:v>Réparation et entretien de toiture</x:v>
      </x:c>
      <x:c r="F355" s="36" t="n">
        <x:v>800000</x:v>
      </x:c>
      <x:c r="G355" s="38" t="n">
        <x:v>43403</x:v>
      </x:c>
      <x:c r="H355" s="38" t="n">
        <x:v>43403</x:v>
      </x:c>
      <x:c r="I355" s="40" t="n">
        <x:v>48</x:v>
      </x:c>
      <x:c r="J355" s="33" t="str">
        <x:v>Accord-cadre</x:v>
      </x:c>
      <x:c r="K355" s="33" t="str">
        <x:v>Appel d'offres ouvert</x:v>
      </x:c>
      <x:c r="L355" s="33" t="str">
        <x:v>Révisable</x:v>
      </x:c>
      <x:c r="M355" s="33" t="str">
        <x:v>(27) Eure</x:v>
      </x:c>
      <x:c r="N355" s="33" t="str">
        <x:v>Oui</x:v>
      </x:c>
      <x:c r="O355" s="33" t="str">
        <x:v>data.gouv.fr_aife</x:v>
      </x:c>
      <x:c r="P355" s="33" t="str">
        <x:v>20182018T0012800</x:v>
      </x:c>
    </x:row>
    <x:row r="356">
      <x:c r="A356" s="33" t="str">
        <x:v>20182018S4002700</x:v>
      </x:c>
      <x:c r="B356" s="33" t="str">
        <x:v>MINARM / ESTM / EPA / ISAE - Institut supérieur de l'aéronautique et de l'espace (ISAE)</x:v>
      </x:c>
      <x:c r="C356" s="33" t="str">
        <x:v>INSTRON FRANCE S.A.S.</x:v>
      </x:c>
      <x:c r="D356" s="33" t="str">
        <x:v>Remise niveau de deux machines d'essais, électronique de commande et logiciel de pilotage des machines de marque INSTRON</x:v>
      </x:c>
      <x:c r="E356" s="33" t="str">
        <x:v>Services de réparation et d'entretien d'appareils de mesure, d'essai et de contrôle.</x:v>
      </x:c>
      <x:c r="F356" s="36" t="n">
        <x:v>80000</x:v>
      </x:c>
      <x:c r="G356" s="38" t="n">
        <x:v>43403</x:v>
      </x:c>
      <x:c r="H356" s="38" t="n">
        <x:v>43403</x:v>
      </x:c>
      <x:c r="I356" s="40" t="n">
        <x:v>20</x:v>
      </x:c>
      <x:c r="J356" s="33" t="str"/>
      <x:c r="K356" s="33" t="str"/>
      <x:c r="L356" s="33" t="str">
        <x:v>Ferme</x:v>
      </x:c>
      <x:c r="M356" s="33" t="str">
        <x:v>(31) Haute-Garonne</x:v>
      </x:c>
      <x:c r="N356" s="33" t="str">
        <x:v>Oui</x:v>
      </x:c>
      <x:c r="O356" s="33" t="str">
        <x:v>data.gouv.fr_aife</x:v>
      </x:c>
      <x:c r="P356" s="33" t="str">
        <x:v>20182018S4002700</x:v>
      </x:c>
    </x:row>
    <x:row r="357">
      <x:c r="A357" s="33" t="str">
        <x:v>20182018S6245300</x:v>
      </x:c>
      <x:c r="B357" s="33" t="str">
        <x:v>MINARM / DIRISI / DIRISI Toulon - Direction Interarmées des Réseaux d'Infrastructure et des Systèmes d' Information - Toulon</x:v>
      </x:c>
      <x:c r="C357" s="33" t="str">
        <x:v>INEO DEFENSE</x:v>
      </x:c>
      <x:c r="D357" s="33" t="str">
        <x:v>MCO, MCS,TMA et prestations associées du système de Pilotage Automatisé des Systèmes de Communication Avec Les ambassadEs</x:v>
      </x:c>
      <x:c r="E357" s="33" t="str">
        <x:v>Services de maintenance des systèmes et services d'assistance.</x:v>
      </x:c>
      <x:c r="F357" s="36" t="n">
        <x:v>1500000</x:v>
      </x:c>
      <x:c r="G357" s="38" t="n">
        <x:v>43403</x:v>
      </x:c>
      <x:c r="H357" s="38" t="n">
        <x:v>43403</x:v>
      </x:c>
      <x:c r="I357" s="40" t="n">
        <x:v>48</x:v>
      </x:c>
      <x:c r="J357" s="33" t="str">
        <x:v>Accord-cadre</x:v>
      </x:c>
      <x:c r="K357" s="33" t="str"/>
      <x:c r="L357" s="33" t="str">
        <x:v>Révisable</x:v>
      </x:c>
      <x:c r="M357" s="33" t="str">
        <x:v>(27) Eure</x:v>
      </x:c>
      <x:c r="N357" s="33" t="str">
        <x:v>Oui</x:v>
      </x:c>
      <x:c r="O357" s="33" t="str">
        <x:v>data.gouv.fr_aife</x:v>
      </x:c>
      <x:c r="P357" s="33" t="str">
        <x:v>20182018S6245300</x:v>
      </x:c>
    </x:row>
    <x:row r="358">
      <x:c r="A358" s="33" t="str">
        <x:v>2018150905792900</x:v>
      </x:c>
      <x:c r="B358" s="33" t="str">
        <x:v>MINARM / SSF / DSSF Brest - Direction du service de soutien de la flotte de Brest - DSSF Brest</x:v>
      </x:c>
      <x:c r="C358" s="33" t="str">
        <x:v>COMPTOIR METALLURGIQUE DE BRETAGNE</x:v>
      </x:c>
      <x:c r="D358" s="33" t="str">
        <x:v>Approvisionnement de matières industrielles au profit du service des moyens portuaires de Toulon.</x:v>
      </x:c>
      <x:c r="E358" s="33" t="str">
        <x:v>Pièces de rechange pour coque et pièces mécaniques pour navires de guerre.</x:v>
      </x:c>
      <x:c r="F358" s="36" t="n">
        <x:v>3363</x:v>
      </x:c>
      <x:c r="G358" s="38" t="n">
        <x:v>43403</x:v>
      </x:c>
      <x:c r="H358" s="38" t="n">
        <x:v>43403</x:v>
      </x:c>
      <x:c r="I358" s="40" t="n">
        <x:v>3</x:v>
      </x:c>
      <x:c r="J358" s="33" t="str">
        <x:v>Marché</x:v>
      </x:c>
      <x:c r="K358" s="33" t="str">
        <x:v>Procédure adaptée</x:v>
      </x:c>
      <x:c r="L358" s="33" t="str">
        <x:v>Ferme</x:v>
      </x:c>
      <x:c r="M358" s="33" t="str">
        <x:v>(29) Finistère</x:v>
      </x:c>
      <x:c r="N358" s="33" t="str">
        <x:v>Oui</x:v>
      </x:c>
      <x:c r="O358" s="33" t="str">
        <x:v>data.gouv.fr_aife</x:v>
      </x:c>
      <x:c r="P358" s="33" t="str">
        <x:v>2018150905792900</x:v>
      </x:c>
    </x:row>
    <x:row r="359">
      <x:c r="A359" s="33" t="str">
        <x:v>2018150907318400</x:v>
      </x:c>
      <x:c r="B359" s="33" t="str">
        <x:v>MINARM / SSF / DSSF Brest - Direction du service de soutien de la flotte de Brest - DSSF Brest</x:v>
      </x:c>
      <x:c r="C359" s="33" t="str">
        <x:v>LE LITTORAL</x:v>
      </x:c>
      <x:c r="D359" s="33" t="str">
        <x:v>Approvisionnement d’un dévidoir et de bâtons lumineux flexibles de marques diverses ou équivalent au profit des unités de la Marine Nationale</x:v>
      </x:c>
      <x:c r="E359" s="33" t="str">
        <x:v>Pièces pour navires de guerre.</x:v>
      </x:c>
      <x:c r="F359" s="36" t="n">
        <x:v>6212</x:v>
      </x:c>
      <x:c r="G359" s="38" t="n">
        <x:v>43403</x:v>
      </x:c>
      <x:c r="H359" s="38" t="n">
        <x:v>43403</x:v>
      </x:c>
      <x:c r="I359" s="40" t="n">
        <x:v>4</x:v>
      </x:c>
      <x:c r="J359" s="33" t="str">
        <x:v>Marché</x:v>
      </x:c>
      <x:c r="K359" s="33" t="str">
        <x:v>Procédure adaptée</x:v>
      </x:c>
      <x:c r="L359" s="33" t="str">
        <x:v>Ferme</x:v>
      </x:c>
      <x:c r="M359" s="33" t="str">
        <x:v>(29) Finistère</x:v>
      </x:c>
      <x:c r="N359" s="33" t="str">
        <x:v>Oui</x:v>
      </x:c>
      <x:c r="O359" s="33" t="str">
        <x:v>data.gouv.fr_aife</x:v>
      </x:c>
      <x:c r="P359" s="33" t="str">
        <x:v>2018150907318400</x:v>
      </x:c>
    </x:row>
    <x:row r="360">
      <x:c r="A360" s="33" t="str">
        <x:v>2018150907314400</x:v>
      </x:c>
      <x:c r="B360" s="33" t="str">
        <x:v>MINARM / SSF / DSSF Brest - Direction du service de soutien de la flotte de Brest - DSSF Brest</x:v>
      </x:c>
      <x:c r="C360" s="33" t="str">
        <x:v>LOGNAV-CM</x:v>
      </x:c>
      <x:c r="D360" s="33" t="str">
        <x:v>Approvisionnement d'avertisseurs et de matériels électriques de marques diverses ou équivalents au profit des unités de la Marine Nationale</x:v>
      </x:c>
      <x:c r="E360" s="33" t="str">
        <x:v>Pièces électroniques et électriques de rechange pour navires de guerre.</x:v>
      </x:c>
      <x:c r="F360" s="36" t="n">
        <x:v>3394</x:v>
      </x:c>
      <x:c r="G360" s="38" t="n">
        <x:v>43404</x:v>
      </x:c>
      <x:c r="H360" s="38" t="n">
        <x:v>43404</x:v>
      </x:c>
      <x:c r="I360" s="40" t="n">
        <x:v>2</x:v>
      </x:c>
      <x:c r="J360" s="33" t="str">
        <x:v>Marché</x:v>
      </x:c>
      <x:c r="K360" s="33" t="str">
        <x:v>Procédure adaptée</x:v>
      </x:c>
      <x:c r="L360" s="33" t="str">
        <x:v>Ferme</x:v>
      </x:c>
      <x:c r="M360" s="33" t="str">
        <x:v>(29) Finistère</x:v>
      </x:c>
      <x:c r="N360" s="33" t="str">
        <x:v>Oui</x:v>
      </x:c>
      <x:c r="O360" s="33" t="str">
        <x:v>data.gouv.fr_aife</x:v>
      </x:c>
      <x:c r="P360" s="33" t="str">
        <x:v>2018150907314400</x:v>
      </x:c>
    </x:row>
    <x:row r="361">
      <x:c r="A361" s="33" t="str">
        <x:v>2018150906571200</x:v>
      </x:c>
      <x:c r="B361" s="33" t="str">
        <x:v>MINARM / SGA / SID / ESID BREST - Etablissement du service d'infrastructure de la défense de BREST - ESID Brest</x:v>
      </x:c>
      <x:c r="C361" s="33" t="str">
        <x:v>ENTREPRISE MARC SA</x:v>
      </x:c>
      <x:c r="D361" s="33" t="str">
        <x:v>BASE NAVALE DE BREST (29) - FOURNITURE ET INSTALLATION DUN BLOC MODULAIRE - POSTE DE GARDE A LENTREE NO2018BSTBST3296RD DU PORTZIC (29200 BREST)</x:v>
      </x:c>
      <x:c r="E361" s="33" t="str">
        <x:v>Bâtiments modulaires préfabriqués.</x:v>
      </x:c>
      <x:c r="F361" s="36" t="n">
        <x:v>39573</x:v>
      </x:c>
      <x:c r="G361" s="38" t="n">
        <x:v>43404</x:v>
      </x:c>
      <x:c r="H361" s="38" t="n">
        <x:v>43404</x:v>
      </x:c>
      <x:c r="I361" s="40" t="n">
        <x:v>3</x:v>
      </x:c>
      <x:c r="J361" s="33" t="str">
        <x:v>Marché</x:v>
      </x:c>
      <x:c r="K361" s="33" t="str">
        <x:v>Procédure adaptée</x:v>
      </x:c>
      <x:c r="L361" s="33" t="str">
        <x:v>Ferme et actualisable</x:v>
      </x:c>
      <x:c r="M361" s="33" t="str">
        <x:v>(29) Finistère</x:v>
      </x:c>
      <x:c r="N361" s="33" t="str">
        <x:v>Oui</x:v>
      </x:c>
      <x:c r="O361" s="33" t="str">
        <x:v>data.gouv.fr_aife</x:v>
      </x:c>
      <x:c r="P361" s="33" t="str">
        <x:v>2018150906571200</x:v>
      </x:c>
    </x:row>
    <x:row r="362">
      <x:c r="A362" s="33" t="str">
        <x:v>2018150904273200</x:v>
      </x:c>
      <x:c r="B362" s="33" t="str">
        <x:v>MINARM / SGA / SID / ESID Metz - Etablissement du service d'infrastructure de la défense de Metz - ESID Metz</x:v>
      </x:c>
      <x:c r="C362" s="33" t="str">
        <x:v>FME</x:v>
      </x:c>
      <x:c r="D362" s="33" t="str">
        <x:v>SAINT-DIZIER (52) Aérodrome de Saint-Dizier Robinson - BA113 MCI 20-Rénovation de léclairage public</x:v>
      </x:c>
      <x:c r="E362" s="33" t="str">
        <x:v>Équipement d'éclairage public.</x:v>
      </x:c>
      <x:c r="F362" s="36" t="n">
        <x:v>59949</x:v>
      </x:c>
      <x:c r="G362" s="38" t="n">
        <x:v>43404</x:v>
      </x:c>
      <x:c r="H362" s="38" t="n">
        <x:v>43404</x:v>
      </x:c>
      <x:c r="I362" s="40" t="n">
        <x:v>4</x:v>
      </x:c>
      <x:c r="J362" s="33" t="str">
        <x:v>Marché</x:v>
      </x:c>
      <x:c r="K362" s="33" t="str">
        <x:v>Appel d'offres ouvert</x:v>
      </x:c>
      <x:c r="L362" s="33" t="str">
        <x:v>Ferme et actualisable</x:v>
      </x:c>
      <x:c r="M362" s="33" t="str">
        <x:v>(52) Haute-Marne</x:v>
      </x:c>
      <x:c r="N362" s="33" t="str">
        <x:v>Oui</x:v>
      </x:c>
      <x:c r="O362" s="33" t="str">
        <x:v>data.gouv.fr_aife</x:v>
      </x:c>
      <x:c r="P362" s="33" t="str">
        <x:v>2018150904273200</x:v>
      </x:c>
    </x:row>
    <x:row r="363">
      <x:c r="A363" s="33" t="str">
        <x:v>2018150908709300</x:v>
      </x:c>
      <x:c r="B363" s="33" t="str">
        <x:v>MINARM / SSF / DSSF Brest - Direction du service de soutien de la flotte de Brest - DSSF Brest</x:v>
      </x:c>
      <x:c r="C363" s="33" t="str">
        <x:v>BUREAU VERITAS MARINE &amp; OFFSHORE - REGISTRE INTERNATIONAL DE CLASSIFICATION DE NAVIRES ET DE PLATEFORMES OFFSHORE</x:v>
      </x:c>
      <x:c r="D363" s="33" t="str">
        <x:v>certification des bers de levage et de transport par voie maritime des chasseurs de mines tripartites</x:v>
      </x:c>
      <x:c r="E363" s="33" t="str">
        <x:v>Services de certification.</x:v>
      </x:c>
      <x:c r="F363" s="36" t="n">
        <x:v>8000</x:v>
      </x:c>
      <x:c r="G363" s="38" t="n">
        <x:v>43404</x:v>
      </x:c>
      <x:c r="H363" s="38" t="n">
        <x:v>43404</x:v>
      </x:c>
      <x:c r="I363" s="40" t="n">
        <x:v>1</x:v>
      </x:c>
      <x:c r="J363" s="33" t="str">
        <x:v>Marché</x:v>
      </x:c>
      <x:c r="K363" s="33" t="str">
        <x:v>Procédure adaptée</x:v>
      </x:c>
      <x:c r="L363" s="33" t="str">
        <x:v>Ferme</x:v>
      </x:c>
      <x:c r="M363" s="33" t="str">
        <x:v>(29) Finistère</x:v>
      </x:c>
      <x:c r="N363" s="33" t="str">
        <x:v>Oui</x:v>
      </x:c>
      <x:c r="O363" s="33" t="str">
        <x:v>data.gouv.fr_aife</x:v>
      </x:c>
      <x:c r="P363" s="33" t="str">
        <x:v>2018150908709300</x:v>
      </x:c>
    </x:row>
    <x:row r="364">
      <x:c r="A364" s="33" t="str">
        <x:v>20182018S5012600</x:v>
      </x:c>
      <x:c r="B364" s="33" t="str">
        <x:v>MINARM / ESTM / EPA / ONAC - Office National des Anciens Combattants et victimes de guerre</x:v>
      </x:c>
      <x:c r="C364" s="33" t="str">
        <x:v>TECHNIGAZON</x:v>
      </x:c>
      <x:c r="D364" s="33" t="str">
        <x:v>Entretien des espaces verts des nécropoles nationales et des carrés militaires - 2018025POL - Entretien des espaces verts de nécropoles nationales et de carrés militaires dans la Meuse</x:v>
      </x:c>
      <x:c r="E364" s="33" t="str">
        <x:v>Réalisation et entretien d'espaces verts.</x:v>
      </x:c>
      <x:c r="F364" s="36" t="n">
        <x:v>47677</x:v>
      </x:c>
      <x:c r="G364" s="38" t="n">
        <x:v>43404</x:v>
      </x:c>
      <x:c r="H364" s="38" t="n">
        <x:v>43404</x:v>
      </x:c>
      <x:c r="I364" s="40" t="n">
        <x:v>48</x:v>
      </x:c>
      <x:c r="J364" s="33" t="str">
        <x:v>Accord-cadre</x:v>
      </x:c>
      <x:c r="K364" s="33" t="str">
        <x:v>Appel d'offres ouvert</x:v>
      </x:c>
      <x:c r="L364" s="33" t="str">
        <x:v>Révisable</x:v>
      </x:c>
      <x:c r="M364" s="33" t="str">
        <x:v>(54) Meurthe-et-Moselle</x:v>
      </x:c>
      <x:c r="N364" s="33" t="str">
        <x:v>Oui</x:v>
      </x:c>
      <x:c r="O364" s="33" t="str">
        <x:v>data.gouv.fr_aife</x:v>
      </x:c>
      <x:c r="P364" s="33" t="str">
        <x:v>20182018S5012600</x:v>
      </x:c>
    </x:row>
    <x:row r="365">
      <x:c r="A365" s="33" t="str">
        <x:v>20182018S5012500</x:v>
      </x:c>
      <x:c r="B365" s="33" t="str">
        <x:v>MINARM / ESTM / EPA / ONAC - Office National des Anciens Combattants et victimes de guerre</x:v>
      </x:c>
      <x:c r="C365" s="33" t="str">
        <x:v>TECHNIGAZON</x:v>
      </x:c>
      <x:c r="D365" s="33" t="str">
        <x:v>Entretien des espaces verts des nécropoles nationales et des carrés militaires - 2018024POL - Entretien des espaces verts de carrés militaires dans la Haute Marne</x:v>
      </x:c>
      <x:c r="E365" s="33" t="str">
        <x:v>Réalisation et entretien d'espaces verts.</x:v>
      </x:c>
      <x:c r="F365" s="36" t="n">
        <x:v>10416</x:v>
      </x:c>
      <x:c r="G365" s="38" t="n">
        <x:v>43404</x:v>
      </x:c>
      <x:c r="H365" s="38" t="n">
        <x:v>43404</x:v>
      </x:c>
      <x:c r="I365" s="40" t="n">
        <x:v>48</x:v>
      </x:c>
      <x:c r="J365" s="33" t="str">
        <x:v>Accord-cadre</x:v>
      </x:c>
      <x:c r="K365" s="33" t="str">
        <x:v>Appel d'offres ouvert</x:v>
      </x:c>
      <x:c r="L365" s="33" t="str">
        <x:v>Révisable</x:v>
      </x:c>
      <x:c r="M365" s="33" t="str">
        <x:v>(54) Meurthe-et-Moselle</x:v>
      </x:c>
      <x:c r="N365" s="33" t="str">
        <x:v>Oui</x:v>
      </x:c>
      <x:c r="O365" s="33" t="str">
        <x:v>data.gouv.fr_aife</x:v>
      </x:c>
      <x:c r="P365" s="33" t="str">
        <x:v>20182018S5012500</x:v>
      </x:c>
    </x:row>
    <x:row r="366">
      <x:c r="A366" s="33" t="str">
        <x:v>2018130013892500</x:v>
      </x:c>
      <x:c r="B366" s="33" t="str">
        <x:v>MINARM / SSA / DAPSA - Direction des Approvisionnements en produits de santé des armées</x:v>
      </x:c>
      <x:c r="C366" s="33" t="str">
        <x:v>LEICA MICROSYSTEMES</x:v>
      </x:c>
      <x:c r="D366" s="33" t="str">
        <x:v>L acquisition, au profit de l Institut de Recherche Biomédicale des Armées (IRBA) de Brétigny-sur-Orge, d un système de congélation des échantillons biologiques sous haute pression (dénommé dans la suite du texte sous l abréviation HPF : High Pre</x:v>
      </x:c>
      <x:c r="E366" s="33" t="str">
        <x:v>Equipements de laboratoire, d'optique et de précision (excepté les lunettes).</x:v>
      </x:c>
      <x:c r="F366" s="36" t="n">
        <x:v>294330</x:v>
      </x:c>
      <x:c r="G366" s="38" t="n">
        <x:v>43404</x:v>
      </x:c>
      <x:c r="H366" s="38" t="n">
        <x:v>43404</x:v>
      </x:c>
      <x:c r="I366" s="40" t="n">
        <x:v>48</x:v>
      </x:c>
      <x:c r="J366" s="33" t="str">
        <x:v>Accord-cadre</x:v>
      </x:c>
      <x:c r="K366" s="33" t="str">
        <x:v>Appel d'offres ouvert</x:v>
      </x:c>
      <x:c r="L366" s="33" t="str">
        <x:v>Révisable</x:v>
      </x:c>
      <x:c r="M366" s="33" t="str">
        <x:v>(91) Essonne</x:v>
      </x:c>
      <x:c r="N366" s="33" t="str">
        <x:v>Oui</x:v>
      </x:c>
      <x:c r="O366" s="33" t="str">
        <x:v>data.gouv.fr_aife</x:v>
      </x:c>
      <x:c r="P366" s="33" t="str">
        <x:v>2018130013892500</x:v>
      </x:c>
    </x:row>
    <x:row r="367">
      <x:c r="A367" s="33" t="str">
        <x:v>20182018S5012300</x:v>
      </x:c>
      <x:c r="B367" s="33" t="str">
        <x:v>MINARM / ESTM / EPA / ONAC - Office National des Anciens Combattants et victimes de guerre</x:v>
      </x:c>
      <x:c r="C367" s="33" t="str">
        <x:v>TECHNIGAZON</x:v>
      </x:c>
      <x:c r="D367" s="33" t="str">
        <x:v>Entretien des espaces verts des nécropoles nationales et des carrés militaires - 2018022POL - Entretien des espaces verts de nécropoles nationales dans la Meuse</x:v>
      </x:c>
      <x:c r="E367" s="33" t="str">
        <x:v>Réalisation et entretien d'espaces verts.</x:v>
      </x:c>
      <x:c r="F367" s="36" t="n">
        <x:v>30343</x:v>
      </x:c>
      <x:c r="G367" s="38" t="n">
        <x:v>43404</x:v>
      </x:c>
      <x:c r="H367" s="38" t="n">
        <x:v>43404</x:v>
      </x:c>
      <x:c r="I367" s="40" t="n">
        <x:v>48</x:v>
      </x:c>
      <x:c r="J367" s="33" t="str">
        <x:v>Accord-cadre</x:v>
      </x:c>
      <x:c r="K367" s="33" t="str">
        <x:v>Appel d'offres ouvert</x:v>
      </x:c>
      <x:c r="L367" s="33" t="str">
        <x:v>Révisable</x:v>
      </x:c>
      <x:c r="M367" s="33" t="str">
        <x:v>(54) Meurthe-et-Moselle</x:v>
      </x:c>
      <x:c r="N367" s="33" t="str">
        <x:v>Oui</x:v>
      </x:c>
      <x:c r="O367" s="33" t="str">
        <x:v>data.gouv.fr_aife</x:v>
      </x:c>
      <x:c r="P367" s="33" t="str">
        <x:v>20182018S5012300</x:v>
      </x:c>
    </x:row>
    <x:row r="368">
      <x:c r="A368" s="33" t="str">
        <x:v>20182018S5012700</x:v>
      </x:c>
      <x:c r="B368" s="33" t="str">
        <x:v>MINARM / ESTM / EPA / ONAC - Office National des Anciens Combattants et victimes de guerre</x:v>
      </x:c>
      <x:c r="C368" s="33" t="str">
        <x:v>TECHNIGAZON</x:v>
      </x:c>
      <x:c r="D368" s="33" t="str">
        <x:v>Entretien des espaces verts des nécropoles nationales et des carrés militaires - 2018026POL - Entretien des espaces verts de nécropoles nationales dans la Marne</x:v>
      </x:c>
      <x:c r="E368" s="33" t="str">
        <x:v>Réalisation et entretien d'espaces verts.</x:v>
      </x:c>
      <x:c r="F368" s="36" t="n">
        <x:v>18063</x:v>
      </x:c>
      <x:c r="G368" s="38" t="n">
        <x:v>43404</x:v>
      </x:c>
      <x:c r="H368" s="38" t="n">
        <x:v>43404</x:v>
      </x:c>
      <x:c r="I368" s="40" t="n">
        <x:v>48</x:v>
      </x:c>
      <x:c r="J368" s="33" t="str">
        <x:v>Accord-cadre</x:v>
      </x:c>
      <x:c r="K368" s="33" t="str">
        <x:v>Appel d'offres ouvert</x:v>
      </x:c>
      <x:c r="L368" s="33" t="str">
        <x:v>Révisable</x:v>
      </x:c>
      <x:c r="M368" s="33" t="str">
        <x:v>(54) Meurthe-et-Moselle</x:v>
      </x:c>
      <x:c r="N368" s="33" t="str">
        <x:v>Oui</x:v>
      </x:c>
      <x:c r="O368" s="33" t="str">
        <x:v>data.gouv.fr_aife</x:v>
      </x:c>
      <x:c r="P368" s="33" t="str">
        <x:v>20182018S5012700</x:v>
      </x:c>
    </x:row>
    <x:row r="369">
      <x:c r="A369" s="33" t="str">
        <x:v>2018150905404600</x:v>
      </x:c>
      <x:c r="B369" s="33" t="str">
        <x:v>MINARM / SGA / SID / ESID BREST - Etablissement du service d'infrastructure de la défense de BREST - ESID Brest</x:v>
      </x:c>
      <x:c r="C369" s="33" t="str">
        <x:v>NAVTIS</x:v>
      </x:c>
      <x:c r="D369" s="33" t="str">
        <x:v>Fourniture et mise en place dun modulaire poste de garde avec sanitaires à lentrée du plateau de Kéroriou.</x:v>
      </x:c>
      <x:c r="E369" s="33" t="str">
        <x:v>Bâtiments modulaires préfabriqués.</x:v>
      </x:c>
      <x:c r="F369" s="36" t="n">
        <x:v>35570</x:v>
      </x:c>
      <x:c r="G369" s="38" t="n">
        <x:v>43404</x:v>
      </x:c>
      <x:c r="H369" s="38" t="n">
        <x:v>43404</x:v>
      </x:c>
      <x:c r="I369" s="40" t="n">
        <x:v>3</x:v>
      </x:c>
      <x:c r="J369" s="33" t="str">
        <x:v>Marché</x:v>
      </x:c>
      <x:c r="K369" s="33" t="str">
        <x:v>Procédure adaptée</x:v>
      </x:c>
      <x:c r="L369" s="33" t="str">
        <x:v>Ferme et actualisable</x:v>
      </x:c>
      <x:c r="M369" s="33" t="str">
        <x:v>(29) Finistère</x:v>
      </x:c>
      <x:c r="N369" s="33" t="str">
        <x:v>Oui</x:v>
      </x:c>
      <x:c r="O369" s="33" t="str">
        <x:v>data.gouv.fr_aife</x:v>
      </x:c>
      <x:c r="P369" s="33" t="str">
        <x:v>2018150905404600</x:v>
      </x:c>
    </x:row>
    <x:row r="370">
      <x:c r="A370" s="33" t="str">
        <x:v>20182018T0011400</x:v>
      </x:c>
      <x:c r="B370" s="33" t="str">
        <x:v>MINARM / SGA / SID / ESID Toulon - Etablissement du service d'infrastructure de la défense de Toulon - ESID Toulon</x:v>
      </x:c>
      <x:c r="C370" s="33" t="str">
        <x:v>CEGELEC DEFENSE ET NAVAL SUD-EST</x:v>
      </x:c>
      <x:c r="D370" s="33" t="str">
        <x:v>Base de Défense de Toulon- Travaux de plomberie, sanitaire, chauffage, ventilation et climatisation</x:v>
      </x:c>
      <x:c r="E370" s="33" t="str">
        <x:v>Travaux d'installation de matériel de chauffage, de ventilation et de climatisation.</x:v>
      </x:c>
      <x:c r="F370" s="36" t="n">
        <x:v>6000000</x:v>
      </x:c>
      <x:c r="G370" s="38" t="n">
        <x:v>43404</x:v>
      </x:c>
      <x:c r="H370" s="38" t="n">
        <x:v>43404</x:v>
      </x:c>
      <x:c r="I370" s="40" t="n">
        <x:v>48</x:v>
      </x:c>
      <x:c r="J370" s="33" t="str">
        <x:v>Accord-cadre</x:v>
      </x:c>
      <x:c r="K370" s="33" t="str">
        <x:v>Appel d'offres restreint</x:v>
      </x:c>
      <x:c r="L370" s="33" t="str">
        <x:v>Révisable</x:v>
      </x:c>
      <x:c r="M370" s="33" t="str">
        <x:v>(83) Var</x:v>
      </x:c>
      <x:c r="N370" s="33" t="str">
        <x:v>Oui</x:v>
      </x:c>
      <x:c r="O370" s="33" t="str">
        <x:v>data.gouv.fr_aife</x:v>
      </x:c>
      <x:c r="P370" s="33" t="str">
        <x:v>20182018T0011400</x:v>
      </x:c>
    </x:row>
    <x:row r="371">
      <x:c r="A371" s="33" t="str">
        <x:v>20182018S5012400</x:v>
      </x:c>
      <x:c r="B371" s="33" t="str">
        <x:v>MINARM / ESTM / EPA / ONAC - Office National des Anciens Combattants et victimes de guerre</x:v>
      </x:c>
      <x:c r="C371" s="33" t="str">
        <x:v>TECHNIGAZON</x:v>
      </x:c>
      <x:c r="D371" s="33" t="str">
        <x:v>Entretien des espaces verts des nécropoles nationales et des carrés militaires - 2018023POL - Entretien des espaces verts de nécropoles nationales dans la Meuse</x:v>
      </x:c>
      <x:c r="E371" s="33" t="str">
        <x:v>Réalisation et entretien d'espaces verts.</x:v>
      </x:c>
      <x:c r="F371" s="36" t="n">
        <x:v>28871</x:v>
      </x:c>
      <x:c r="G371" s="38" t="n">
        <x:v>43404</x:v>
      </x:c>
      <x:c r="H371" s="38" t="n">
        <x:v>43404</x:v>
      </x:c>
      <x:c r="I371" s="40" t="n">
        <x:v>48</x:v>
      </x:c>
      <x:c r="J371" s="33" t="str">
        <x:v>Accord-cadre</x:v>
      </x:c>
      <x:c r="K371" s="33" t="str">
        <x:v>Appel d'offres ouvert</x:v>
      </x:c>
      <x:c r="L371" s="33" t="str">
        <x:v>Révisable</x:v>
      </x:c>
      <x:c r="M371" s="33" t="str">
        <x:v>(54) Meurthe-et-Moselle</x:v>
      </x:c>
      <x:c r="N371" s="33" t="str">
        <x:v>Oui</x:v>
      </x:c>
      <x:c r="O371" s="33" t="str">
        <x:v>data.gouv.fr_aife</x:v>
      </x:c>
      <x:c r="P371" s="33" t="str">
        <x:v>20182018S5012400</x:v>
      </x:c>
    </x:row>
    <x:row r="372">
      <x:c r="A372" s="33" t="str">
        <x:v>20182018S5012800</x:v>
      </x:c>
      <x:c r="B372" s="33" t="str">
        <x:v>MINARM / ESTM / EPA / ONAC - Office National des Anciens Combattants et victimes de guerre</x:v>
      </x:c>
      <x:c r="C372" s="33" t="str">
        <x:v>TECHNIGAZON</x:v>
      </x:c>
      <x:c r="D372" s="33" t="str">
        <x:v>Entretien des espaces verts des nécropoles nationales et des carrés militaires - 2018027POL - Entretien des espaces verts de nécropoles nationales dans la Meuse</x:v>
      </x:c>
      <x:c r="E372" s="33" t="str">
        <x:v>Réalisation et entretien d'espaces verts.</x:v>
      </x:c>
      <x:c r="F372" s="36" t="n">
        <x:v>17316</x:v>
      </x:c>
      <x:c r="G372" s="38" t="n">
        <x:v>43404</x:v>
      </x:c>
      <x:c r="H372" s="38" t="n">
        <x:v>43404</x:v>
      </x:c>
      <x:c r="I372" s="40" t="n">
        <x:v>48</x:v>
      </x:c>
      <x:c r="J372" s="33" t="str">
        <x:v>Accord-cadre</x:v>
      </x:c>
      <x:c r="K372" s="33" t="str">
        <x:v>Appel d'offres ouvert</x:v>
      </x:c>
      <x:c r="L372" s="33" t="str">
        <x:v>Révisable</x:v>
      </x:c>
      <x:c r="M372" s="33" t="str">
        <x:v>(54) Meurthe-et-Moselle</x:v>
      </x:c>
      <x:c r="N372" s="33" t="str">
        <x:v>Oui</x:v>
      </x:c>
      <x:c r="O372" s="33" t="str">
        <x:v>data.gouv.fr_aife</x:v>
      </x:c>
      <x:c r="P372" s="33" t="str">
        <x:v>20182018S5012800</x:v>
      </x:c>
    </x:row>
    <x:row r="373">
      <x:c r="A373" s="33" t="str">
        <x:v>2018100013107200</x:v>
      </x:c>
      <x:c r="B373" s="33" t="str">
        <x:v>MINARM / SSA / DAPSA - Direction des Approvisionnements en produits de santé des armées</x:v>
      </x:c>
      <x:c r="C373" s="33" t="str">
        <x:v>BIO-RAD FRANCE</x:v>
      </x:c>
      <x:c r="D373" s="33" t="str">
        <x:v>Location-maintenance d’un analyseur d’immuno-hématologie IH1000 de marque BIO-RAD au profit du Centre de Transfusion Sanguine des Armées de Clamart.</x:v>
      </x:c>
      <x:c r="E373" s="33" t="str">
        <x:v>Services de réparation et d'entretien de matériel médical et de matériel de précision.</x:v>
      </x:c>
      <x:c r="F373" s="36" t="n">
        <x:v>64000</x:v>
      </x:c>
      <x:c r="G373" s="38" t="n">
        <x:v>43405</x:v>
      </x:c>
      <x:c r="H373" s="38" t="n">
        <x:v>43405</x:v>
      </x:c>
      <x:c r="I373" s="40" t="n">
        <x:v>48</x:v>
      </x:c>
      <x:c r="J373" s="33" t="str"/>
      <x:c r="K373" s="33" t="str"/>
      <x:c r="L373" s="33" t="str"/>
      <x:c r="M373" s="33" t="str">
        <x:v>(92) Hauts-de-Seine</x:v>
      </x:c>
      <x:c r="N373" s="33" t="str">
        <x:v>Oui</x:v>
      </x:c>
      <x:c r="O373" s="33" t="str">
        <x:v>data.gouv.fr_aife</x:v>
      </x:c>
      <x:c r="P373" s="33" t="str">
        <x:v>2018100013107200</x:v>
      </x:c>
    </x:row>
    <x:row r="374">
      <x:c r="A374" s="33" t="str">
        <x:v>2018150904254400</x:v>
      </x:c>
      <x:c r="B374" s="33" t="str">
        <x:v>MINARM / SGA / SID / ESID Metz - Etablissement du service d'infrastructure de la défense de Metz - ESID Metz</x:v>
      </x:c>
      <x:c r="C374" s="33" t="str">
        <x:v>SPIE BATIGNOLLES EST</x:v>
      </x:c>
      <x:c r="D374" s="33" t="str">
        <x:v>THIONVILLE (57) - Quartier Jeanne d'Arc - Bâtiment 0016 - Salle polyvalente - Mise en œuvre de l'AD'AP 2018 - TRAITEMENT ACOUSTIQUE</x:v>
      </x:c>
      <x:c r="E374" s="33" t="str">
        <x:v>Travaux d'isolation acoustique.</x:v>
      </x:c>
      <x:c r="F374" s="36" t="n">
        <x:v>57571</x:v>
      </x:c>
      <x:c r="G374" s="38" t="n">
        <x:v>43406</x:v>
      </x:c>
      <x:c r="H374" s="38" t="n">
        <x:v>43406</x:v>
      </x:c>
      <x:c r="I374" s="40" t="n">
        <x:v>3</x:v>
      </x:c>
      <x:c r="J374" s="33" t="str">
        <x:v>Marché</x:v>
      </x:c>
      <x:c r="K374" s="33" t="str">
        <x:v>Appel d'offres ouvert</x:v>
      </x:c>
      <x:c r="L374" s="33" t="str">
        <x:v>Ferme et actualisable</x:v>
      </x:c>
      <x:c r="M374" s="33" t="str">
        <x:v>(57) Moselle</x:v>
      </x:c>
      <x:c r="N374" s="33" t="str">
        <x:v>Oui</x:v>
      </x:c>
      <x:c r="O374" s="33" t="str">
        <x:v>data.gouv.fr_aife</x:v>
      </x:c>
      <x:c r="P374" s="33" t="str">
        <x:v>2018150904254400</x:v>
      </x:c>
    </x:row>
    <x:row r="375">
      <x:c r="A375" s="33" t="str">
        <x:v>2018100013141600</x:v>
      </x:c>
      <x:c r="B375" s="33" t="str">
        <x:v>MINARM / SGA / SID / ESID Bordeaux - Etablissement du service d'infrastructure de la défense de Bordeaux - ESID Bordeaux</x:v>
      </x:c>
      <x:c r="C375" s="33" t="str">
        <x:v>SMAC SAS</x:v>
      </x:c>
      <x:c r="D375" s="33" t="str">
        <x:v>Cognac (16) - travaux de rénovation du clos et couvert de la tour de contrôle avec l'isolation thermique par l'extérieur par bardages métalliques et la réfection de l'étanchéité en toiture terrasse - BA 709</x:v>
      </x:c>
      <x:c r="E375" s="33" t="str">
        <x:v>Travaux de revêtement.</x:v>
      </x:c>
      <x:c r="F375" s="36" t="n">
        <x:v>353573</x:v>
      </x:c>
      <x:c r="G375" s="38" t="n">
        <x:v>43409</x:v>
      </x:c>
      <x:c r="H375" s="38" t="n">
        <x:v>43409</x:v>
      </x:c>
      <x:c r="I375" s="40" t="n">
        <x:v>19</x:v>
      </x:c>
      <x:c r="J375" s="33" t="str"/>
      <x:c r="K375" s="33" t="str"/>
      <x:c r="L375" s="33" t="str">
        <x:v>Révisable</x:v>
      </x:c>
      <x:c r="M375" s="33" t="str">
        <x:v>(33) Gironde</x:v>
      </x:c>
      <x:c r="N375" s="33" t="str">
        <x:v>Oui</x:v>
      </x:c>
      <x:c r="O375" s="33" t="str">
        <x:v>data.gouv.fr_aife</x:v>
      </x:c>
      <x:c r="P375" s="33" t="str">
        <x:v>2018100013141600</x:v>
      </x:c>
    </x:row>
    <x:row r="376">
      <x:c r="A376" s="33" t="str">
        <x:v>2018150902779700</x:v>
      </x:c>
      <x:c r="B376" s="33" t="str">
        <x:v>MINARM / SGA / SID / ESID Metz - Etablissement du service d'infrastructure de la défense de Metz - ESID Metz</x:v>
      </x:c>
      <x:c r="C376" s="33" t="str">
        <x:v>SANTERNE ENERGIES EST</x:v>
      </x:c>
      <x:c r="D376" s="33" t="str">
        <x:v>SAINT-DIZIER (52) BA113 - Bâtiment 118 Prérequis infrastructure - COSI 445 846</x:v>
      </x:c>
      <x:c r="E376" s="33" t="str">
        <x:v>Travaux de construction.</x:v>
      </x:c>
      <x:c r="F376" s="36" t="n">
        <x:v>192340</x:v>
      </x:c>
      <x:c r="G376" s="38" t="n">
        <x:v>43409</x:v>
      </x:c>
      <x:c r="H376" s="38" t="n">
        <x:v>43409</x:v>
      </x:c>
      <x:c r="I376" s="40" t="n">
        <x:v>12</x:v>
      </x:c>
      <x:c r="J376" s="33" t="str"/>
      <x:c r="K376" s="33" t="str"/>
      <x:c r="L376" s="33" t="str"/>
      <x:c r="M376" s="33" t="str">
        <x:v>(57) Moselle</x:v>
      </x:c>
      <x:c r="N376" s="33" t="str">
        <x:v>Oui</x:v>
      </x:c>
      <x:c r="O376" s="33" t="str">
        <x:v>data.gouv.fr_aife</x:v>
      </x:c>
      <x:c r="P376" s="33" t="str">
        <x:v>2018150902779700</x:v>
      </x:c>
    </x:row>
    <x:row r="377">
      <x:c r="A377" s="33" t="str">
        <x:v>20182018F0005200</x:v>
      </x:c>
      <x:c r="B377" s="33" t="str">
        <x:v>MINARM / SCA / PFC RBT - Plate-forme commissariat Rambouillet</x:v>
      </x:c>
      <x:c r="C377" s="33" t="str">
        <x:v>FEED.</x:v>
      </x:c>
      <x:c r="D377" s="33" t="str">
        <x:v>FOURNITURE DE BARRES ÉNERGÉTIQUES</x:v>
      </x:c>
      <x:c r="E377" s="33" t="str">
        <x:v>Rations de campagne.</x:v>
      </x:c>
      <x:c r="F377" s="36" t="n">
        <x:v>440000</x:v>
      </x:c>
      <x:c r="G377" s="38" t="n">
        <x:v>43409</x:v>
      </x:c>
      <x:c r="H377" s="38" t="n">
        <x:v>43409</x:v>
      </x:c>
      <x:c r="I377" s="40" t="n">
        <x:v>48</x:v>
      </x:c>
      <x:c r="J377" s="33" t="str">
        <x:v>Accord-cadre</x:v>
      </x:c>
      <x:c r="K377" s="33" t="str">
        <x:v>Appel d'offres restreint</x:v>
      </x:c>
      <x:c r="L377" s="33" t="str"/>
      <x:c r="M377" s="33" t="str">
        <x:v>(49) Maine-et-Loire</x:v>
      </x:c>
      <x:c r="N377" s="33" t="str">
        <x:v>Oui</x:v>
      </x:c>
      <x:c r="O377" s="33" t="str">
        <x:v>data.gouv.fr_aife</x:v>
      </x:c>
      <x:c r="P377" s="33" t="str">
        <x:v>20182018F0005200</x:v>
      </x:c>
    </x:row>
    <x:row r="378">
      <x:c r="A378" s="33" t="str">
        <x:v>20182018F4103600</x:v>
      </x:c>
      <x:c r="B378" s="33" t="str">
        <x:v>MINARM / SCA / PFC RBT - Plate-forme commissariat Rambouillet</x:v>
      </x:c>
      <x:c r="C378" s="33" t="str">
        <x:v>ORIFO</x:v>
      </x:c>
      <x:c r="D378" s="33" t="str">
        <x:v>FOURNITURE DE COMPOSANTS POUR RATIONS SPÉCIALES</x:v>
      </x:c>
      <x:c r="E378" s="33" t="str">
        <x:v>Rations de campagne.</x:v>
      </x:c>
      <x:c r="F378" s="36" t="n">
        <x:v>11113600</x:v>
      </x:c>
      <x:c r="G378" s="38" t="n">
        <x:v>43409</x:v>
      </x:c>
      <x:c r="H378" s="38" t="n">
        <x:v>43409</x:v>
      </x:c>
      <x:c r="I378" s="40" t="n">
        <x:v>48</x:v>
      </x:c>
      <x:c r="J378" s="33" t="str">
        <x:v>Accord-cadre</x:v>
      </x:c>
      <x:c r="K378" s="33" t="str">
        <x:v>Appel d'offres restreint</x:v>
      </x:c>
      <x:c r="L378" s="33" t="str"/>
      <x:c r="M378" s="33" t="str">
        <x:v>(49) Maine-et-Loire</x:v>
      </x:c>
      <x:c r="N378" s="33" t="str">
        <x:v>Oui</x:v>
      </x:c>
      <x:c r="O378" s="33" t="str">
        <x:v>data.gouv.fr_aife</x:v>
      </x:c>
      <x:c r="P378" s="33" t="str">
        <x:v>20182018F4103600</x:v>
      </x:c>
    </x:row>
    <x:row r="379">
      <x:c r="A379" s="33" t="str">
        <x:v>20182018F4104300</x:v>
      </x:c>
      <x:c r="B379" s="33" t="str">
        <x:v>MINARM / SCA / PFC RBT - Plate-forme commissariat Rambouillet</x:v>
      </x:c>
      <x:c r="C379" s="33" t="str">
        <x:v>MAITRE PRUNILLE</x:v>
      </x:c>
      <x:c r="D379" s="33" t="str">
        <x:v>FOURNITURE DE COMPOSANTS POUR RATIONS SPÉCIALES</x:v>
      </x:c>
      <x:c r="E379" s="33" t="str">
        <x:v>Rations de campagne.</x:v>
      </x:c>
      <x:c r="F379" s="36" t="n">
        <x:v>11113600</x:v>
      </x:c>
      <x:c r="G379" s="38" t="n">
        <x:v>43409</x:v>
      </x:c>
      <x:c r="H379" s="38" t="n">
        <x:v>43409</x:v>
      </x:c>
      <x:c r="I379" s="40" t="n">
        <x:v>48</x:v>
      </x:c>
      <x:c r="J379" s="33" t="str">
        <x:v>Accord-cadre</x:v>
      </x:c>
      <x:c r="K379" s="33" t="str">
        <x:v>Appel d'offres restreint</x:v>
      </x:c>
      <x:c r="L379" s="33" t="str"/>
      <x:c r="M379" s="33" t="str">
        <x:v>(49) Maine-et-Loire</x:v>
      </x:c>
      <x:c r="N379" s="33" t="str">
        <x:v>Oui</x:v>
      </x:c>
      <x:c r="O379" s="33" t="str">
        <x:v>data.gouv.fr_aife</x:v>
      </x:c>
      <x:c r="P379" s="33" t="str">
        <x:v>20182018F4104300</x:v>
      </x:c>
    </x:row>
    <x:row r="380">
      <x:c r="A380" s="33" t="str">
        <x:v>20182018F4107900</x:v>
      </x:c>
      <x:c r="B380" s="33" t="str">
        <x:v>MINARM / SCA / PFC RBT - Plate-forme commissariat Rambouillet</x:v>
      </x:c>
      <x:c r="C380" s="33" t="str">
        <x:v>LARZUL</x:v>
      </x:c>
      <x:c r="D380" s="33" t="str">
        <x:v>FOURNITURE DE GARNITURES DE POISSONS POUR SANDWICHS</x:v>
      </x:c>
      <x:c r="E380" s="33" t="str">
        <x:v>Rations de campagne.</x:v>
      </x:c>
      <x:c r="F380" s="36" t="n">
        <x:v>260000</x:v>
      </x:c>
      <x:c r="G380" s="38" t="n">
        <x:v>43409</x:v>
      </x:c>
      <x:c r="H380" s="38" t="n">
        <x:v>43409</x:v>
      </x:c>
      <x:c r="I380" s="40" t="n">
        <x:v>48</x:v>
      </x:c>
      <x:c r="J380" s="33" t="str">
        <x:v>Accord-cadre</x:v>
      </x:c>
      <x:c r="K380" s="33" t="str">
        <x:v>Appel d'offres restreint</x:v>
      </x:c>
      <x:c r="L380" s="33" t="str"/>
      <x:c r="M380" s="33" t="str">
        <x:v>(49) Maine-et-Loire</x:v>
      </x:c>
      <x:c r="N380" s="33" t="str">
        <x:v>Oui</x:v>
      </x:c>
      <x:c r="O380" s="33" t="str">
        <x:v>data.gouv.fr_aife</x:v>
      </x:c>
      <x:c r="P380" s="33" t="str">
        <x:v>20182018F4107900</x:v>
      </x:c>
    </x:row>
    <x:row r="381">
      <x:c r="A381" s="33" t="str">
        <x:v>20182018F4108000</x:v>
      </x:c>
      <x:c r="B381" s="33" t="str">
        <x:v>MINARM / SCA / PFC RBT - Plate-forme commissariat Rambouillet</x:v>
      </x:c>
      <x:c r="C381" s="33" t="str">
        <x:v>LARZUL</x:v>
      </x:c>
      <x:c r="D381" s="33" t="str">
        <x:v>FOURNITURE DE GARNITURES DE FROMAGES POUR SANDWICHS</x:v>
      </x:c>
      <x:c r="E381" s="33" t="str">
        <x:v>Rations de campagne.</x:v>
      </x:c>
      <x:c r="F381" s="36" t="n">
        <x:v>360000</x:v>
      </x:c>
      <x:c r="G381" s="38" t="n">
        <x:v>43409</x:v>
      </x:c>
      <x:c r="H381" s="38" t="n">
        <x:v>43409</x:v>
      </x:c>
      <x:c r="I381" s="40" t="n">
        <x:v>48</x:v>
      </x:c>
      <x:c r="J381" s="33" t="str">
        <x:v>Accord-cadre</x:v>
      </x:c>
      <x:c r="K381" s="33" t="str">
        <x:v>Appel d'offres restreint</x:v>
      </x:c>
      <x:c r="L381" s="33" t="str"/>
      <x:c r="M381" s="33" t="str">
        <x:v>(49) Maine-et-Loire</x:v>
      </x:c>
      <x:c r="N381" s="33" t="str">
        <x:v>Oui</x:v>
      </x:c>
      <x:c r="O381" s="33" t="str">
        <x:v>data.gouv.fr_aife</x:v>
      </x:c>
      <x:c r="P381" s="33" t="str">
        <x:v>20182018F4108000</x:v>
      </x:c>
    </x:row>
    <x:row r="382">
      <x:c r="A382" s="33" t="str">
        <x:v>20182018F4108100</x:v>
      </x:c>
      <x:c r="B382" s="33" t="str">
        <x:v>MINARM / SCA / PFC RBT - Plate-forme commissariat Rambouillet</x:v>
      </x:c>
      <x:c r="C382" s="33" t="str">
        <x:v>LARZUL</x:v>
      </x:c>
      <x:c r="D382" s="33" t="str">
        <x:v>FOURNITURE DE PLATS CUISINES APPERTISES VIANDE LÉGUMES</x:v>
      </x:c>
      <x:c r="E382" s="33" t="str">
        <x:v>Rations de campagne.</x:v>
      </x:c>
      <x:c r="F382" s="36" t="n">
        <x:v>480000</x:v>
      </x:c>
      <x:c r="G382" s="38" t="n">
        <x:v>43409</x:v>
      </x:c>
      <x:c r="H382" s="38" t="n">
        <x:v>43409</x:v>
      </x:c>
      <x:c r="I382" s="40" t="n">
        <x:v>48</x:v>
      </x:c>
      <x:c r="J382" s="33" t="str">
        <x:v>Accord-cadre</x:v>
      </x:c>
      <x:c r="K382" s="33" t="str">
        <x:v>Appel d'offres restreint</x:v>
      </x:c>
      <x:c r="L382" s="33" t="str"/>
      <x:c r="M382" s="33" t="str">
        <x:v>(49) Maine-et-Loire</x:v>
      </x:c>
      <x:c r="N382" s="33" t="str">
        <x:v>Oui</x:v>
      </x:c>
      <x:c r="O382" s="33" t="str">
        <x:v>data.gouv.fr_aife</x:v>
      </x:c>
      <x:c r="P382" s="33" t="str">
        <x:v>20182018F4108100</x:v>
      </x:c>
    </x:row>
    <x:row r="383">
      <x:c r="A383" s="33" t="str">
        <x:v>20182018F4108700</x:v>
      </x:c>
      <x:c r="B383" s="33" t="str">
        <x:v>MINARM / SCA / PFC RBT - Plate-forme commissariat Rambouillet</x:v>
      </x:c>
      <x:c r="C383" s="33" t="str">
        <x:v>LARZUL</x:v>
      </x:c>
      <x:c r="D383" s="33" t="str">
        <x:v>FOURNITURE DE DESSERTS FRUITS CÉRÉALES GRAINES LONGUE CONSERVATION</x:v>
      </x:c>
      <x:c r="E383" s="33" t="str">
        <x:v>Rations de campagne.</x:v>
      </x:c>
      <x:c r="F383" s="36" t="n">
        <x:v>640000</x:v>
      </x:c>
      <x:c r="G383" s="38" t="n">
        <x:v>43409</x:v>
      </x:c>
      <x:c r="H383" s="38" t="n">
        <x:v>43409</x:v>
      </x:c>
      <x:c r="I383" s="40" t="n">
        <x:v>48</x:v>
      </x:c>
      <x:c r="J383" s="33" t="str">
        <x:v>Accord-cadre</x:v>
      </x:c>
      <x:c r="K383" s="33" t="str">
        <x:v>Appel d'offres restreint</x:v>
      </x:c>
      <x:c r="L383" s="33" t="str"/>
      <x:c r="M383" s="33" t="str">
        <x:v>(49) Maine-et-Loire</x:v>
      </x:c>
      <x:c r="N383" s="33" t="str">
        <x:v>Oui</x:v>
      </x:c>
      <x:c r="O383" s="33" t="str">
        <x:v>data.gouv.fr_aife</x:v>
      </x:c>
      <x:c r="P383" s="33" t="str">
        <x:v>20182018F4108700</x:v>
      </x:c>
    </x:row>
    <x:row r="384">
      <x:c r="A384" s="33" t="str">
        <x:v>20182018F4108800</x:v>
      </x:c>
      <x:c r="B384" s="33" t="str">
        <x:v>MINARM / SCA / PFC RBT - Plate-forme commissariat Rambouillet</x:v>
      </x:c>
      <x:c r="C384" s="33" t="str">
        <x:v>LARZUL</x:v>
      </x:c>
      <x:c r="D384" s="33" t="str">
        <x:v>FOURNITURE DE JUS DE FRUITS ÉPAISSI</x:v>
      </x:c>
      <x:c r="E384" s="33" t="str">
        <x:v>Rations de campagne.</x:v>
      </x:c>
      <x:c r="F384" s="36" t="n">
        <x:v>400000</x:v>
      </x:c>
      <x:c r="G384" s="38" t="n">
        <x:v>43409</x:v>
      </x:c>
      <x:c r="H384" s="38" t="n">
        <x:v>43409</x:v>
      </x:c>
      <x:c r="I384" s="40" t="n">
        <x:v>48</x:v>
      </x:c>
      <x:c r="J384" s="33" t="str">
        <x:v>Accord-cadre</x:v>
      </x:c>
      <x:c r="K384" s="33" t="str">
        <x:v>Appel d'offres restreint</x:v>
      </x:c>
      <x:c r="L384" s="33" t="str"/>
      <x:c r="M384" s="33" t="str">
        <x:v>(49) Maine-et-Loire</x:v>
      </x:c>
      <x:c r="N384" s="33" t="str">
        <x:v>Oui</x:v>
      </x:c>
      <x:c r="O384" s="33" t="str">
        <x:v>data.gouv.fr_aife</x:v>
      </x:c>
      <x:c r="P384" s="33" t="str">
        <x:v>20182018F4108800</x:v>
      </x:c>
    </x:row>
    <x:row r="385">
      <x:c r="A385" s="33" t="str">
        <x:v>20182018F4109600</x:v>
      </x:c>
      <x:c r="B385" s="33" t="str">
        <x:v>MINARM / SCA / PFC RBT - Plate-forme commissariat Rambouillet</x:v>
      </x:c>
      <x:c r="C385" s="33" t="str">
        <x:v>ORIFO</x:v>
      </x:c>
      <x:c r="D385" s="33" t="str">
        <x:v>FOURNITURE DE PAINS ET PAINS FOURRES</x:v>
      </x:c>
      <x:c r="E385" s="33" t="str">
        <x:v>Rations de campagne.</x:v>
      </x:c>
      <x:c r="F385" s="36" t="n">
        <x:v>3532000</x:v>
      </x:c>
      <x:c r="G385" s="38" t="n">
        <x:v>43409</x:v>
      </x:c>
      <x:c r="H385" s="38" t="n">
        <x:v>43409</x:v>
      </x:c>
      <x:c r="I385" s="40" t="n">
        <x:v>48</x:v>
      </x:c>
      <x:c r="J385" s="33" t="str">
        <x:v>Accord-cadre</x:v>
      </x:c>
      <x:c r="K385" s="33" t="str">
        <x:v>Appel d'offres restreint</x:v>
      </x:c>
      <x:c r="L385" s="33" t="str"/>
      <x:c r="M385" s="33" t="str">
        <x:v>(49) Maine-et-Loire</x:v>
      </x:c>
      <x:c r="N385" s="33" t="str">
        <x:v>Oui</x:v>
      </x:c>
      <x:c r="O385" s="33" t="str">
        <x:v>data.gouv.fr_aife</x:v>
      </x:c>
      <x:c r="P385" s="33" t="str">
        <x:v>20182018F4109600</x:v>
      </x:c>
    </x:row>
    <x:row r="386">
      <x:c r="A386" s="33" t="str">
        <x:v>2018170008961000</x:v>
      </x:c>
      <x:c r="B386" s="33" t="str">
        <x:v>MINARM / DGA / DO / S2A / PROD / DA-BA - Division achats - Toulouse/Balma</x:v>
      </x:c>
      <x:c r="C386" s="33" t="str">
        <x:v>SOCIETE INDUSTRIELLE D'ETUDES ET PROTECTIONS ELECTRONIQUES</x:v>
      </x:c>
      <x:c r="D386" s="33" t="str">
        <x:v>Maintien en Condition Opérationnelle, Mise à hauteur des cages faradisées CEM de DGA Techniques Aéronautiques. - Préalablement à la remise des offres, non obligatoire, sur site, sera organisée le 01/06/2018 à 9h00 ou le 04/06/2018 à 13h30.</x:v>
      </x:c>
      <x:c r="E386" s="33" t="str">
        <x:v>Services de maintenance préventive.</x:v>
      </x:c>
      <x:c r="F386" s="36" t="n">
        <x:v>400000</x:v>
      </x:c>
      <x:c r="G386" s="38" t="n">
        <x:v>43409</x:v>
      </x:c>
      <x:c r="H386" s="38" t="n">
        <x:v>43409</x:v>
      </x:c>
      <x:c r="I386" s="40" t="n">
        <x:v>60</x:v>
      </x:c>
      <x:c r="J386" s="33" t="str"/>
      <x:c r="K386" s="33" t="str"/>
      <x:c r="L386" s="33" t="str"/>
      <x:c r="M386" s="33" t="str">
        <x:v>(31) Haute-Garonne</x:v>
      </x:c>
      <x:c r="N386" s="33" t="str">
        <x:v>Oui</x:v>
      </x:c>
      <x:c r="O386" s="33" t="str">
        <x:v>data.gouv.fr_aife</x:v>
      </x:c>
      <x:c r="P386" s="33" t="str">
        <x:v>2018170008961000</x:v>
      </x:c>
    </x:row>
    <x:row r="387">
      <x:c r="A387" s="33" t="str">
        <x:v>20182018F0004700</x:v>
      </x:c>
      <x:c r="B387" s="33" t="str">
        <x:v>MINARM / SCA / PFC RBT - Plate-forme commissariat Rambouillet</x:v>
      </x:c>
      <x:c r="C387" s="33" t="str">
        <x:v>SOC DE VENTE DISTRIBUTION SOVEDIS</x:v>
      </x:c>
      <x:c r="D387" s="33" t="str">
        <x:v>FOURNITURE DE COMPRIMES DE PURIFICATION EAU</x:v>
      </x:c>
      <x:c r="E387" s="33" t="str">
        <x:v>Rations de campagne.</x:v>
      </x:c>
      <x:c r="F387" s="36" t="n">
        <x:v>221760</x:v>
      </x:c>
      <x:c r="G387" s="38" t="n">
        <x:v>43409</x:v>
      </x:c>
      <x:c r="H387" s="38" t="n">
        <x:v>43409</x:v>
      </x:c>
      <x:c r="I387" s="40" t="n">
        <x:v>48</x:v>
      </x:c>
      <x:c r="J387" s="33" t="str">
        <x:v>Accord-cadre</x:v>
      </x:c>
      <x:c r="K387" s="33" t="str">
        <x:v>Appel d'offres restreint</x:v>
      </x:c>
      <x:c r="L387" s="33" t="str"/>
      <x:c r="M387" s="33" t="str">
        <x:v>(49) Maine-et-Loire</x:v>
      </x:c>
      <x:c r="N387" s="33" t="str">
        <x:v>Oui</x:v>
      </x:c>
      <x:c r="O387" s="33" t="str">
        <x:v>data.gouv.fr_aife</x:v>
      </x:c>
      <x:c r="P387" s="33" t="str">
        <x:v>20182018F0004700</x:v>
      </x:c>
    </x:row>
    <x:row r="388">
      <x:c r="A388" s="33" t="str">
        <x:v>20182018F0004900</x:v>
      </x:c>
      <x:c r="B388" s="33" t="str">
        <x:v>MINARM / SCA / PFC RBT - Plate-forme commissariat Rambouillet</x:v>
      </x:c>
      <x:c r="C388" s="33" t="str">
        <x:v>LJ IMPORT EXPORT</x:v>
      </x:c>
      <x:c r="D388" s="33" t="str">
        <x:v>FOURNITURE DE BAGUETTE DE FERMETURE</x:v>
      </x:c>
      <x:c r="E388" s="33" t="str">
        <x:v>Rations de campagne.</x:v>
      </x:c>
      <x:c r="F388" s="36" t="n">
        <x:v>273600</x:v>
      </x:c>
      <x:c r="G388" s="38" t="n">
        <x:v>43409</x:v>
      </x:c>
      <x:c r="H388" s="38" t="n">
        <x:v>43409</x:v>
      </x:c>
      <x:c r="I388" s="40" t="n">
        <x:v>48</x:v>
      </x:c>
      <x:c r="J388" s="33" t="str">
        <x:v>Accord-cadre</x:v>
      </x:c>
      <x:c r="K388" s="33" t="str">
        <x:v>Appel d'offres restreint</x:v>
      </x:c>
      <x:c r="L388" s="33" t="str"/>
      <x:c r="M388" s="33" t="str">
        <x:v>(49) Maine-et-Loire</x:v>
      </x:c>
      <x:c r="N388" s="33" t="str">
        <x:v>Oui</x:v>
      </x:c>
      <x:c r="O388" s="33" t="str">
        <x:v>data.gouv.fr_aife</x:v>
      </x:c>
      <x:c r="P388" s="33" t="str">
        <x:v>20182018F0004900</x:v>
      </x:c>
    </x:row>
    <x:row r="389">
      <x:c r="A389" s="33" t="str">
        <x:v>20182018F4103200</x:v>
      </x:c>
      <x:c r="B389" s="33" t="str">
        <x:v>MINARM / SCA / PFC RBT - Plate-forme commissariat Rambouillet</x:v>
      </x:c>
      <x:c r="C389" s="33" t="str">
        <x:v>ATMOSPH AIR KATADYN FRANCE</x:v>
      </x:c>
      <x:c r="D389" s="33" t="str">
        <x:v>FOURNITURE DE COMPOSANTS POUR RATIONS SPÉCIALES</x:v>
      </x:c>
      <x:c r="E389" s="33" t="str">
        <x:v>Rations de campagne.</x:v>
      </x:c>
      <x:c r="F389" s="36" t="n">
        <x:v>11113600</x:v>
      </x:c>
      <x:c r="G389" s="38" t="n">
        <x:v>43409</x:v>
      </x:c>
      <x:c r="H389" s="38" t="n">
        <x:v>43409</x:v>
      </x:c>
      <x:c r="I389" s="40" t="n">
        <x:v>48</x:v>
      </x:c>
      <x:c r="J389" s="33" t="str">
        <x:v>Accord-cadre</x:v>
      </x:c>
      <x:c r="K389" s="33" t="str">
        <x:v>Appel d'offres restreint</x:v>
      </x:c>
      <x:c r="L389" s="33" t="str"/>
      <x:c r="M389" s="33" t="str">
        <x:v>(49) Maine-et-Loire</x:v>
      </x:c>
      <x:c r="N389" s="33" t="str">
        <x:v>Oui</x:v>
      </x:c>
      <x:c r="O389" s="33" t="str">
        <x:v>data.gouv.fr_aife</x:v>
      </x:c>
      <x:c r="P389" s="33" t="str">
        <x:v>20182018F4103200</x:v>
      </x:c>
    </x:row>
    <x:row r="390">
      <x:c r="A390" s="33" t="str">
        <x:v>20182018F4104000</x:v>
      </x:c>
      <x:c r="B390" s="33" t="str">
        <x:v>MINARM / SCA / PFC RBT - Plate-forme commissariat Rambouillet</x:v>
      </x:c>
      <x:c r="C390" s="33" t="str">
        <x:v>SOCIETE NOUVELLE YABON VERNEUIL</x:v>
      </x:c>
      <x:c r="D390" s="33" t="str">
        <x:v>FOURNITURE DE COMPOSANTS POUR RATIONS SPÉCIALES</x:v>
      </x:c>
      <x:c r="E390" s="33" t="str">
        <x:v>Rations de campagne.</x:v>
      </x:c>
      <x:c r="F390" s="36" t="n">
        <x:v>11113600</x:v>
      </x:c>
      <x:c r="G390" s="38" t="n">
        <x:v>43409</x:v>
      </x:c>
      <x:c r="H390" s="38" t="n">
        <x:v>43409</x:v>
      </x:c>
      <x:c r="I390" s="40" t="n">
        <x:v>48</x:v>
      </x:c>
      <x:c r="J390" s="33" t="str">
        <x:v>Accord-cadre</x:v>
      </x:c>
      <x:c r="K390" s="33" t="str">
        <x:v>Appel d'offres restreint</x:v>
      </x:c>
      <x:c r="L390" s="33" t="str"/>
      <x:c r="M390" s="33" t="str">
        <x:v>(49) Maine-et-Loire</x:v>
      </x:c>
      <x:c r="N390" s="33" t="str">
        <x:v>Oui</x:v>
      </x:c>
      <x:c r="O390" s="33" t="str">
        <x:v>data.gouv.fr_aife</x:v>
      </x:c>
      <x:c r="P390" s="33" t="str">
        <x:v>20182018F4104000</x:v>
      </x:c>
    </x:row>
    <x:row r="391">
      <x:c r="A391" s="33" t="str">
        <x:v>20182018F4108900</x:v>
      </x:c>
      <x:c r="B391" s="33" t="str">
        <x:v>MINARM / SCA / PFC RBT - Plate-forme commissariat Rambouillet</x:v>
      </x:c>
      <x:c r="C391" s="33" t="str">
        <x:v>MAITRE PRUNILLE</x:v>
      </x:c>
      <x:c r="D391" s="33" t="str">
        <x:v>FOURNITURE DE FRUITS SECHES ET A COQUES</x:v>
      </x:c>
      <x:c r="E391" s="33" t="str">
        <x:v>Rations de campagne.</x:v>
      </x:c>
      <x:c r="F391" s="36" t="n">
        <x:v>444000</x:v>
      </x:c>
      <x:c r="G391" s="38" t="n">
        <x:v>43409</x:v>
      </x:c>
      <x:c r="H391" s="38" t="n">
        <x:v>43409</x:v>
      </x:c>
      <x:c r="I391" s="40" t="n">
        <x:v>48</x:v>
      </x:c>
      <x:c r="J391" s="33" t="str">
        <x:v>Accord-cadre</x:v>
      </x:c>
      <x:c r="K391" s="33" t="str">
        <x:v>Appel d'offres restreint</x:v>
      </x:c>
      <x:c r="L391" s="33" t="str"/>
      <x:c r="M391" s="33" t="str">
        <x:v>(49) Maine-et-Loire</x:v>
      </x:c>
      <x:c r="N391" s="33" t="str">
        <x:v>Oui</x:v>
      </x:c>
      <x:c r="O391" s="33" t="str">
        <x:v>data.gouv.fr_aife</x:v>
      </x:c>
      <x:c r="P391" s="33" t="str">
        <x:v>20182018F4108900</x:v>
      </x:c>
    </x:row>
    <x:row r="392">
      <x:c r="A392" s="33" t="str">
        <x:v>20182018F4109000</x:v>
      </x:c>
      <x:c r="B392" s="33" t="str">
        <x:v>MINARM / SCA / PFC RBT - Plate-forme commissariat Rambouillet</x:v>
      </x:c>
      <x:c r="C392" s="33" t="str">
        <x:v>SAS FALIERES</x:v>
      </x:c>
      <x:c r="D392" s="33" t="str">
        <x:v>FOURNITURE DE FRUITS SECHES ET A COQUES</x:v>
      </x:c>
      <x:c r="E392" s="33" t="str">
        <x:v>Rations de campagne.</x:v>
      </x:c>
      <x:c r="F392" s="36" t="n">
        <x:v>444000</x:v>
      </x:c>
      <x:c r="G392" s="38" t="n">
        <x:v>43409</x:v>
      </x:c>
      <x:c r="H392" s="38" t="n">
        <x:v>43409</x:v>
      </x:c>
      <x:c r="I392" s="40" t="n">
        <x:v>48</x:v>
      </x:c>
      <x:c r="J392" s="33" t="str">
        <x:v>Accord-cadre</x:v>
      </x:c>
      <x:c r="K392" s="33" t="str">
        <x:v>Appel d'offres restreint</x:v>
      </x:c>
      <x:c r="L392" s="33" t="str"/>
      <x:c r="M392" s="33" t="str">
        <x:v>(49) Maine-et-Loire</x:v>
      </x:c>
      <x:c r="N392" s="33" t="str">
        <x:v>Oui</x:v>
      </x:c>
      <x:c r="O392" s="33" t="str">
        <x:v>data.gouv.fr_aife</x:v>
      </x:c>
      <x:c r="P392" s="33" t="str">
        <x:v>20182018F4109000</x:v>
      </x:c>
    </x:row>
    <x:row r="393">
      <x:c r="A393" s="33" t="str">
        <x:v>2018150907316400</x:v>
      </x:c>
      <x:c r="B393" s="33" t="str">
        <x:v>MINARM / SSA / DAPSA - Direction des Approvisionnements en produits de santé des armées</x:v>
      </x:c>
      <x:c r="C393" s="33" t="str">
        <x:v>VIVO-TECH</x:v>
      </x:c>
      <x:c r="D393" s="33" t="str">
        <x:v>Acquisition dun système complet pour recueil et analyse du comportement du rongeur -</x:v>
      </x:c>
      <x:c r="E393" s="33" t="str">
        <x:v>Instruments de chirurgie.</x:v>
      </x:c>
      <x:c r="F393" s="36" t="n">
        <x:v>6425</x:v>
      </x:c>
      <x:c r="G393" s="38" t="n">
        <x:v>43409</x:v>
      </x:c>
      <x:c r="H393" s="38" t="n">
        <x:v>43409</x:v>
      </x:c>
      <x:c r="I393" s="40" t="n">
        <x:v>6</x:v>
      </x:c>
      <x:c r="J393" s="33" t="str"/>
      <x:c r="K393" s="33" t="str"/>
      <x:c r="L393" s="33" t="str">
        <x:v>Ferme</x:v>
      </x:c>
      <x:c r="M393" s="33" t="str">
        <x:v>(45) Loiret</x:v>
      </x:c>
      <x:c r="N393" s="33" t="str">
        <x:v>Oui</x:v>
      </x:c>
      <x:c r="O393" s="33" t="str">
        <x:v>data.gouv.fr_aife</x:v>
      </x:c>
      <x:c r="P393" s="33" t="str">
        <x:v>2018150907316400</x:v>
      </x:c>
    </x:row>
    <x:row r="394">
      <x:c r="A394" s="33" t="str">
        <x:v>2018130013886100</x:v>
      </x:c>
      <x:c r="B394" s="33" t="str">
        <x:v>MINARM / SGA / SID / ESID Rennes - Etablissement du service d'infrastructure de la défense de Rennes - ESID Rennes</x:v>
      </x:c>
      <x:c r="C394" s="33" t="str">
        <x:v>JOSEPH PARIS</x:v>
      </x:c>
      <x:c r="D394" s="33" t="str">
        <x:v>EVREUX-FAUVILLE (27) - BA 105 - Entretien des ponts roulants, ponts élevateurs et palans</x:v>
      </x:c>
      <x:c r="E394" s="33" t="str">
        <x:v>Ponts roulants.</x:v>
      </x:c>
      <x:c r="F394" s="36" t="n">
        <x:v>166666</x:v>
      </x:c>
      <x:c r="G394" s="38" t="n">
        <x:v>43409</x:v>
      </x:c>
      <x:c r="H394" s="38" t="n">
        <x:v>43409</x:v>
      </x:c>
      <x:c r="I394" s="40" t="n">
        <x:v>48</x:v>
      </x:c>
      <x:c r="J394" s="33" t="str">
        <x:v>Marché</x:v>
      </x:c>
      <x:c r="K394" s="33" t="str">
        <x:v>Appel d'offres ouvert</x:v>
      </x:c>
      <x:c r="L394" s="33" t="str">
        <x:v>Révisable</x:v>
      </x:c>
      <x:c r="M394" s="33" t="str">
        <x:v>(27) Eure</x:v>
      </x:c>
      <x:c r="N394" s="33" t="str">
        <x:v>Oui</x:v>
      </x:c>
      <x:c r="O394" s="33" t="str">
        <x:v>data.gouv.fr_aife</x:v>
      </x:c>
      <x:c r="P394" s="33" t="str">
        <x:v>2018130013886100</x:v>
      </x:c>
    </x:row>
    <x:row r="395">
      <x:c r="A395" s="33" t="str">
        <x:v>20182018F0005400</x:v>
      </x:c>
      <x:c r="B395" s="33" t="str">
        <x:v>MINARM / SCA / PFC RBT - Plate-forme commissariat Rambouillet</x:v>
      </x:c>
      <x:c r="C395" s="33" t="str">
        <x:v>LARZUL</x:v>
      </x:c>
      <x:c r="D395" s="33" t="str">
        <x:v>FOURNITURE DE GARNITURES DE LÉGUMES POUR SANDWICHS</x:v>
      </x:c>
      <x:c r="E395" s="33" t="str">
        <x:v>Rations de campagne.</x:v>
      </x:c>
      <x:c r="F395" s="36" t="n">
        <x:v>560000</x:v>
      </x:c>
      <x:c r="G395" s="38" t="n">
        <x:v>43409</x:v>
      </x:c>
      <x:c r="H395" s="38" t="n">
        <x:v>43409</x:v>
      </x:c>
      <x:c r="I395" s="40" t="n">
        <x:v>48</x:v>
      </x:c>
      <x:c r="J395" s="33" t="str">
        <x:v>Accord-cadre</x:v>
      </x:c>
      <x:c r="K395" s="33" t="str">
        <x:v>Appel d'offres restreint</x:v>
      </x:c>
      <x:c r="L395" s="33" t="str"/>
      <x:c r="M395" s="33" t="str">
        <x:v>(49) Maine-et-Loire</x:v>
      </x:c>
      <x:c r="N395" s="33" t="str">
        <x:v>Oui</x:v>
      </x:c>
      <x:c r="O395" s="33" t="str">
        <x:v>data.gouv.fr_aife</x:v>
      </x:c>
      <x:c r="P395" s="33" t="str">
        <x:v>20182018F0005400</x:v>
      </x:c>
    </x:row>
    <x:row r="396">
      <x:c r="A396" s="33" t="str">
        <x:v>20182018F0005600</x:v>
      </x:c>
      <x:c r="B396" s="33" t="str">
        <x:v>MINARM / SCA / PFC RBT - Plate-forme commissariat Rambouillet</x:v>
      </x:c>
      <x:c r="C396" s="33" t="str">
        <x:v>SOCIETE NOUVELLE YABON VERNEUIL</x:v>
      </x:c>
      <x:c r="D396" s="33" t="str">
        <x:v>FOURNITURE DE PLATS CUISINES APPERTISES VIANDE FÉCULENTS</x:v>
      </x:c>
      <x:c r="E396" s="33" t="str">
        <x:v>Rations de campagne.</x:v>
      </x:c>
      <x:c r="F396" s="36" t="n">
        <x:v>640000</x:v>
      </x:c>
      <x:c r="G396" s="38" t="n">
        <x:v>43409</x:v>
      </x:c>
      <x:c r="H396" s="38" t="n">
        <x:v>43409</x:v>
      </x:c>
      <x:c r="I396" s="40" t="n">
        <x:v>48</x:v>
      </x:c>
      <x:c r="J396" s="33" t="str">
        <x:v>Accord-cadre</x:v>
      </x:c>
      <x:c r="K396" s="33" t="str">
        <x:v>Appel d'offres restreint</x:v>
      </x:c>
      <x:c r="L396" s="33" t="str"/>
      <x:c r="M396" s="33" t="str">
        <x:v>(49) Maine-et-Loire</x:v>
      </x:c>
      <x:c r="N396" s="33" t="str">
        <x:v>Oui</x:v>
      </x:c>
      <x:c r="O396" s="33" t="str">
        <x:v>data.gouv.fr_aife</x:v>
      </x:c>
      <x:c r="P396" s="33" t="str">
        <x:v>20182018F0005600</x:v>
      </x:c>
    </x:row>
    <x:row r="397">
      <x:c r="A397" s="33" t="str">
        <x:v>20182018F4103800</x:v>
      </x:c>
      <x:c r="B397" s="33" t="str">
        <x:v>MINARM / SCA / PFC RBT - Plate-forme commissariat Rambouillet</x:v>
      </x:c>
      <x:c r="C397" s="33" t="str">
        <x:v>FEED.</x:v>
      </x:c>
      <x:c r="D397" s="33" t="str">
        <x:v>FOURNITURE DE COMPOSANTS POUR RATIONS SPÉCIALES</x:v>
      </x:c>
      <x:c r="E397" s="33" t="str">
        <x:v>Rations de campagne.</x:v>
      </x:c>
      <x:c r="F397" s="36" t="n">
        <x:v>11113600</x:v>
      </x:c>
      <x:c r="G397" s="38" t="n">
        <x:v>43409</x:v>
      </x:c>
      <x:c r="H397" s="38" t="n">
        <x:v>43409</x:v>
      </x:c>
      <x:c r="I397" s="40" t="n">
        <x:v>48</x:v>
      </x:c>
      <x:c r="J397" s="33" t="str">
        <x:v>Accord-cadre</x:v>
      </x:c>
      <x:c r="K397" s="33" t="str">
        <x:v>Appel d'offres restreint</x:v>
      </x:c>
      <x:c r="L397" s="33" t="str"/>
      <x:c r="M397" s="33" t="str">
        <x:v>(49) Maine-et-Loire</x:v>
      </x:c>
      <x:c r="N397" s="33" t="str">
        <x:v>Oui</x:v>
      </x:c>
      <x:c r="O397" s="33" t="str">
        <x:v>data.gouv.fr_aife</x:v>
      </x:c>
      <x:c r="P397" s="33" t="str">
        <x:v>20182018F4103800</x:v>
      </x:c>
    </x:row>
    <x:row r="398">
      <x:c r="A398" s="33" t="str">
        <x:v>20182018F4104100</x:v>
      </x:c>
      <x:c r="B398" s="33" t="str">
        <x:v>MINARM / SCA / PFC RBT - Plate-forme commissariat Rambouillet</x:v>
      </x:c>
      <x:c r="C398" s="33" t="str">
        <x:v>ANDROS</x:v>
      </x:c>
      <x:c r="D398" s="33" t="str">
        <x:v>FOURNITURE DE COMPOSANTS POUR RATIONS SPÉCIALES</x:v>
      </x:c>
      <x:c r="E398" s="33" t="str">
        <x:v>Rations de campagne.</x:v>
      </x:c>
      <x:c r="F398" s="36" t="n">
        <x:v>11113600</x:v>
      </x:c>
      <x:c r="G398" s="38" t="n">
        <x:v>43409</x:v>
      </x:c>
      <x:c r="H398" s="38" t="n">
        <x:v>43409</x:v>
      </x:c>
      <x:c r="I398" s="40" t="n">
        <x:v>48</x:v>
      </x:c>
      <x:c r="J398" s="33" t="str">
        <x:v>Accord-cadre</x:v>
      </x:c>
      <x:c r="K398" s="33" t="str">
        <x:v>Appel d'offres restreint</x:v>
      </x:c>
      <x:c r="L398" s="33" t="str"/>
      <x:c r="M398" s="33" t="str">
        <x:v>(49) Maine-et-Loire</x:v>
      </x:c>
      <x:c r="N398" s="33" t="str">
        <x:v>Oui</x:v>
      </x:c>
      <x:c r="O398" s="33" t="str">
        <x:v>data.gouv.fr_aife</x:v>
      </x:c>
      <x:c r="P398" s="33" t="str">
        <x:v>20182018F4104100</x:v>
      </x:c>
    </x:row>
    <x:row r="399">
      <x:c r="A399" s="33" t="str">
        <x:v>20182018F4104500</x:v>
      </x:c>
      <x:c r="B399" s="33" t="str">
        <x:v>MINARM / SCA / PFC RBT - Plate-forme commissariat Rambouillet</x:v>
      </x:c>
      <x:c r="C399" s="33" t="str">
        <x:v>IDHEA</x:v>
      </x:c>
      <x:c r="D399" s="33" t="str">
        <x:v>FOURNITURE DE COMPOSANTS POUR RATIONS SPÉCIALES</x:v>
      </x:c>
      <x:c r="E399" s="33" t="str">
        <x:v>Rations de campagne.</x:v>
      </x:c>
      <x:c r="F399" s="36" t="n">
        <x:v>11113600</x:v>
      </x:c>
      <x:c r="G399" s="38" t="n">
        <x:v>43409</x:v>
      </x:c>
      <x:c r="H399" s="38" t="n">
        <x:v>43409</x:v>
      </x:c>
      <x:c r="I399" s="40" t="n">
        <x:v>48</x:v>
      </x:c>
      <x:c r="J399" s="33" t="str">
        <x:v>Accord-cadre</x:v>
      </x:c>
      <x:c r="K399" s="33" t="str">
        <x:v>Appel d'offres restreint</x:v>
      </x:c>
      <x:c r="L399" s="33" t="str"/>
      <x:c r="M399" s="33" t="str">
        <x:v>(49) Maine-et-Loire</x:v>
      </x:c>
      <x:c r="N399" s="33" t="str">
        <x:v>Oui</x:v>
      </x:c>
      <x:c r="O399" s="33" t="str">
        <x:v>data.gouv.fr_aife</x:v>
      </x:c>
      <x:c r="P399" s="33" t="str">
        <x:v>20182018F4104500</x:v>
      </x:c>
    </x:row>
    <x:row r="400">
      <x:c r="A400" s="33" t="str">
        <x:v>20182018F4107600</x:v>
      </x:c>
      <x:c r="B400" s="33" t="str">
        <x:v>MINARM / SCA / PFC RBT - Plate-forme commissariat Rambouillet</x:v>
      </x:c>
      <x:c r="C400" s="33" t="str">
        <x:v>S.P.O.</x:v>
      </x:c>
      <x:c r="D400" s="33" t="str">
        <x:v>FOURNITURE DE SACS</x:v>
      </x:c>
      <x:c r="E400" s="33" t="str">
        <x:v>Rations de campagne.</x:v>
      </x:c>
      <x:c r="F400" s="36" t="n">
        <x:v>349941</x:v>
      </x:c>
      <x:c r="G400" s="38" t="n">
        <x:v>43409</x:v>
      </x:c>
      <x:c r="H400" s="38" t="n">
        <x:v>43409</x:v>
      </x:c>
      <x:c r="I400" s="40" t="n">
        <x:v>48</x:v>
      </x:c>
      <x:c r="J400" s="33" t="str">
        <x:v>Accord-cadre</x:v>
      </x:c>
      <x:c r="K400" s="33" t="str">
        <x:v>Appel d'offres restreint</x:v>
      </x:c>
      <x:c r="L400" s="33" t="str"/>
      <x:c r="M400" s="33" t="str">
        <x:v>(49) Maine-et-Loire</x:v>
      </x:c>
      <x:c r="N400" s="33" t="str">
        <x:v>Oui</x:v>
      </x:c>
      <x:c r="O400" s="33" t="str">
        <x:v>data.gouv.fr_aife</x:v>
      </x:c>
      <x:c r="P400" s="33" t="str">
        <x:v>20182018F4107600</x:v>
      </x:c>
    </x:row>
    <x:row r="401">
      <x:c r="A401" s="33" t="str">
        <x:v>20182018F4108300</x:v>
      </x:c>
      <x:c r="B401" s="33" t="str">
        <x:v>MINARM / SCA / PFC RBT - Plate-forme commissariat Rambouillet</x:v>
      </x:c>
      <x:c r="C401" s="33" t="str">
        <x:v>LARZUL</x:v>
      </x:c>
      <x:c r="D401" s="33" t="str">
        <x:v>FOURNITURE DE CRÈME DESSERT LONGUE CONSERVATION</x:v>
      </x:c>
      <x:c r="E401" s="33" t="str">
        <x:v>Rations de campagne.</x:v>
      </x:c>
      <x:c r="F401" s="36" t="n">
        <x:v>800000</x:v>
      </x:c>
      <x:c r="G401" s="38" t="n">
        <x:v>43409</x:v>
      </x:c>
      <x:c r="H401" s="38" t="n">
        <x:v>43409</x:v>
      </x:c>
      <x:c r="I401" s="40" t="n">
        <x:v>48</x:v>
      </x:c>
      <x:c r="J401" s="33" t="str">
        <x:v>Accord-cadre</x:v>
      </x:c>
      <x:c r="K401" s="33" t="str">
        <x:v>Appel d'offres restreint</x:v>
      </x:c>
      <x:c r="L401" s="33" t="str"/>
      <x:c r="M401" s="33" t="str">
        <x:v>(49) Maine-et-Loire</x:v>
      </x:c>
      <x:c r="N401" s="33" t="str">
        <x:v>Oui</x:v>
      </x:c>
      <x:c r="O401" s="33" t="str">
        <x:v>data.gouv.fr_aife</x:v>
      </x:c>
      <x:c r="P401" s="33" t="str">
        <x:v>20182018F4108300</x:v>
      </x:c>
    </x:row>
    <x:row r="402">
      <x:c r="A402" s="33" t="str">
        <x:v>20182018F4108400</x:v>
      </x:c>
      <x:c r="B402" s="33" t="str">
        <x:v>MINARM / SCA / PFC RBT - Plate-forme commissariat Rambouillet</x:v>
      </x:c>
      <x:c r="C402" s="33" t="str">
        <x:v>ANDROS</x:v>
      </x:c>
      <x:c r="D402" s="33" t="str">
        <x:v>FOURNITURE DE DESSERTS AUX FRUITS ENRICHIS LONGUE CONSERVATION</x:v>
      </x:c>
      <x:c r="E402" s="33" t="str">
        <x:v>Rations de campagne.</x:v>
      </x:c>
      <x:c r="F402" s="36" t="n">
        <x:v>400000</x:v>
      </x:c>
      <x:c r="G402" s="38" t="n">
        <x:v>43409</x:v>
      </x:c>
      <x:c r="H402" s="38" t="n">
        <x:v>43409</x:v>
      </x:c>
      <x:c r="I402" s="40" t="n">
        <x:v>48</x:v>
      </x:c>
      <x:c r="J402" s="33" t="str">
        <x:v>Accord-cadre</x:v>
      </x:c>
      <x:c r="K402" s="33" t="str">
        <x:v>Appel d'offres restreint</x:v>
      </x:c>
      <x:c r="L402" s="33" t="str"/>
      <x:c r="M402" s="33" t="str">
        <x:v>(49) Maine-et-Loire</x:v>
      </x:c>
      <x:c r="N402" s="33" t="str">
        <x:v>Oui</x:v>
      </x:c>
      <x:c r="O402" s="33" t="str">
        <x:v>data.gouv.fr_aife</x:v>
      </x:c>
      <x:c r="P402" s="33" t="str">
        <x:v>20182018F4108400</x:v>
      </x:c>
    </x:row>
    <x:row r="403">
      <x:c r="A403" s="33" t="str">
        <x:v>2018150903136200</x:v>
      </x:c>
      <x:c r="B403" s="33" t="str">
        <x:v>MINARM / DGA / DO / S2A / PROD / DA-BA - Division achats - Toulouse/Balma</x:v>
      </x:c>
      <x:c r="C403" s="33" t="str">
        <x:v>PENSER MAITRISER TECHNICITE LOGISTIQUE</x:v>
      </x:c>
      <x:c r="D403" s="33" t="str">
        <x:v>Fabrication de bâti d'arrimage - 2ème partie</x:v>
      </x:c>
      <x:c r="E403" s="33" t="str">
        <x:v>Machines industrielles.</x:v>
      </x:c>
      <x:c r="F403" s="36" t="n">
        <x:v>124324</x:v>
      </x:c>
      <x:c r="G403" s="38" t="n">
        <x:v>43409</x:v>
      </x:c>
      <x:c r="H403" s="38" t="n">
        <x:v>43409</x:v>
      </x:c>
      <x:c r="I403" s="40" t="n">
        <x:v>4</x:v>
      </x:c>
      <x:c r="J403" s="33" t="str"/>
      <x:c r="K403" s="33" t="str"/>
      <x:c r="L403" s="33" t="str"/>
      <x:c r="M403" s="33" t="str">
        <x:v>(31) Haute-Garonne</x:v>
      </x:c>
      <x:c r="N403" s="33" t="str">
        <x:v>Oui</x:v>
      </x:c>
      <x:c r="O403" s="33" t="str">
        <x:v>data.gouv.fr_aife</x:v>
      </x:c>
      <x:c r="P403" s="33" t="str">
        <x:v>2018150903136200</x:v>
      </x:c>
    </x:row>
    <x:row r="404">
      <x:c r="A404" s="33" t="str">
        <x:v>2018150907813600</x:v>
      </x:c>
      <x:c r="B404" s="33" t="str">
        <x:v>MINARM / SSF / DSSF Brest - Direction du service de soutien de la flotte de Brest - DSSF Brest</x:v>
      </x:c>
      <x:c r="C404" s="33" t="str">
        <x:v>COMPTOIR GENERAL DES METAUX</x:v>
      </x:c>
      <x:c r="D404" s="33" t="str">
        <x:v>Approvisionnement de matières industrielles en inox au profit de la base Navale de PAPEETE</x:v>
      </x:c>
      <x:c r="E404" s="33" t="str">
        <x:v>Pièces pour navires de guerre.</x:v>
      </x:c>
      <x:c r="F404" s="36" t="n">
        <x:v>7715</x:v>
      </x:c>
      <x:c r="G404" s="38" t="n">
        <x:v>43409</x:v>
      </x:c>
      <x:c r="H404" s="38" t="n">
        <x:v>43409</x:v>
      </x:c>
      <x:c r="I404" s="40" t="n">
        <x:v>3</x:v>
      </x:c>
      <x:c r="J404" s="33" t="str">
        <x:v>Marché</x:v>
      </x:c>
      <x:c r="K404" s="33" t="str">
        <x:v>Procédure adaptée</x:v>
      </x:c>
      <x:c r="L404" s="33" t="str">
        <x:v>Ferme</x:v>
      </x:c>
      <x:c r="M404" s="33" t="str">
        <x:v>(29) Finistère</x:v>
      </x:c>
      <x:c r="N404" s="33" t="str">
        <x:v>Oui</x:v>
      </x:c>
      <x:c r="O404" s="33" t="str">
        <x:v>data.gouv.fr_aife</x:v>
      </x:c>
      <x:c r="P404" s="33" t="str">
        <x:v>2018150907813600</x:v>
      </x:c>
    </x:row>
    <x:row r="405">
      <x:c r="A405" s="33" t="str">
        <x:v>2018150906583900</x:v>
      </x:c>
      <x:c r="B405" s="33" t="str">
        <x:v>MINARM / SSA / DAPSA - Direction des Approvisionnements en produits de santé des armées</x:v>
      </x:c>
      <x:c r="C405" s="33" t="str">
        <x:v>BIOSEB</x:v>
      </x:c>
      <x:c r="D405" s="33" t="str">
        <x:v>Acquisition dun système complet pour recueil et analyse du comportement du rongeur - - Test de seuil à la douleur (Von Frey électronique)</x:v>
      </x:c>
      <x:c r="E405" s="33" t="str">
        <x:v>Instruments de chirurgie.</x:v>
      </x:c>
      <x:c r="F405" s="36" t="n">
        <x:v>6415</x:v>
      </x:c>
      <x:c r="G405" s="38" t="n">
        <x:v>43409</x:v>
      </x:c>
      <x:c r="H405" s="38" t="n">
        <x:v>43409</x:v>
      </x:c>
      <x:c r="I405" s="40" t="n">
        <x:v>6</x:v>
      </x:c>
      <x:c r="J405" s="33" t="str">
        <x:v>Accord-cadre</x:v>
      </x:c>
      <x:c r="K405" s="33" t="str">
        <x:v>Procédure adaptée</x:v>
      </x:c>
      <x:c r="L405" s="33" t="str">
        <x:v>Ferme</x:v>
      </x:c>
      <x:c r="M405" s="33" t="str">
        <x:v>(45) Loiret</x:v>
      </x:c>
      <x:c r="N405" s="33" t="str">
        <x:v>Oui</x:v>
      </x:c>
      <x:c r="O405" s="33" t="str">
        <x:v>data.gouv.fr_aife</x:v>
      </x:c>
      <x:c r="P405" s="33" t="str">
        <x:v>2018150906583900</x:v>
      </x:c>
    </x:row>
    <x:row r="406">
      <x:c r="A406" s="33" t="str">
        <x:v>2018130013930100</x:v>
      </x:c>
      <x:c r="B406" s="33" t="str">
        <x:v>MINARM / SGA / SID / ESID Bordeaux - Etablissement du service d'infrastructure de la défense de Bordeaux - ESID Bordeaux</x:v>
      </x:c>
      <x:c r="C406" s="33" t="str">
        <x:v>DEKRA INDUSTRIAL</x:v>
      </x:c>
      <x:c r="D406" s="33" t="str">
        <x:v>TOULOUSE (31) - accord cadre à bons de commande relatif à l'exécution des missions de chargé de sécurité pyrotechnique - emprise relevant de la compétence de l'USID de Toulouse</x:v>
      </x:c>
      <x:c r="E406" s="33" t="str">
        <x:v>Services de conseil en matière de santé et de sécurité.</x:v>
      </x:c>
      <x:c r="F406" s="36" t="n">
        <x:v>500000</x:v>
      </x:c>
      <x:c r="G406" s="38" t="n">
        <x:v>43409</x:v>
      </x:c>
      <x:c r="H406" s="38" t="n">
        <x:v>43409</x:v>
      </x:c>
      <x:c r="I406" s="40" t="n">
        <x:v>48</x:v>
      </x:c>
      <x:c r="J406" s="33" t="str">
        <x:v>Marché</x:v>
      </x:c>
      <x:c r="K406" s="33" t="str">
        <x:v>Appel d'offres ouvert</x:v>
      </x:c>
      <x:c r="L406" s="33" t="str">
        <x:v>Ferme et actualisable</x:v>
      </x:c>
      <x:c r="M406" s="33" t="str">
        <x:v>(64) Pyrénées-Atlantiques</x:v>
      </x:c>
      <x:c r="N406" s="33" t="str">
        <x:v>Oui</x:v>
      </x:c>
      <x:c r="O406" s="33" t="str">
        <x:v>data.gouv.fr_aife</x:v>
      </x:c>
      <x:c r="P406" s="33" t="str">
        <x:v>2018130013930100</x:v>
      </x:c>
    </x:row>
    <x:row r="407">
      <x:c r="A407" s="33" t="str">
        <x:v>20182018F4103300</x:v>
      </x:c>
      <x:c r="B407" s="33" t="str">
        <x:v>MINARM / SCA / PFC RBT - Plate-forme commissariat Rambouillet</x:v>
      </x:c>
      <x:c r="C407" s="33" t="str">
        <x:v>SOC DE VENTE DISTRIBUTION SOVEDIS</x:v>
      </x:c>
      <x:c r="D407" s="33" t="str">
        <x:v>FOURNITURE DE COMPOSANTS POUR RATIONS SPÉCIALES</x:v>
      </x:c>
      <x:c r="E407" s="33" t="str">
        <x:v>Rations de campagne.</x:v>
      </x:c>
      <x:c r="F407" s="36" t="n">
        <x:v>11113600</x:v>
      </x:c>
      <x:c r="G407" s="38" t="n">
        <x:v>43409</x:v>
      </x:c>
      <x:c r="H407" s="38" t="n">
        <x:v>43409</x:v>
      </x:c>
      <x:c r="I407" s="40" t="n">
        <x:v>48</x:v>
      </x:c>
      <x:c r="J407" s="33" t="str">
        <x:v>Accord-cadre</x:v>
      </x:c>
      <x:c r="K407" s="33" t="str">
        <x:v>Appel d'offres restreint</x:v>
      </x:c>
      <x:c r="L407" s="33" t="str"/>
      <x:c r="M407" s="33" t="str">
        <x:v>(49) Maine-et-Loire</x:v>
      </x:c>
      <x:c r="N407" s="33" t="str">
        <x:v>Oui</x:v>
      </x:c>
      <x:c r="O407" s="33" t="str">
        <x:v>data.gouv.fr_aife</x:v>
      </x:c>
      <x:c r="P407" s="33" t="str">
        <x:v>20182018F4103300</x:v>
      </x:c>
    </x:row>
    <x:row r="408">
      <x:c r="A408" s="33" t="str">
        <x:v>20182018F4104200</x:v>
      </x:c>
      <x:c r="B408" s="33" t="str">
        <x:v>MINARM / SCA / PFC RBT - Plate-forme commissariat Rambouillet</x:v>
      </x:c>
      <x:c r="C408" s="33" t="str">
        <x:v>SAS FALIERES</x:v>
      </x:c>
      <x:c r="D408" s="33" t="str">
        <x:v>FOURNITURE DE COMPOSANTS POUR RATIONS SPÉCIALES</x:v>
      </x:c>
      <x:c r="E408" s="33" t="str">
        <x:v>Rations de campagne.</x:v>
      </x:c>
      <x:c r="F408" s="36" t="n">
        <x:v>11113600</x:v>
      </x:c>
      <x:c r="G408" s="38" t="n">
        <x:v>43409</x:v>
      </x:c>
      <x:c r="H408" s="38" t="n">
        <x:v>43409</x:v>
      </x:c>
      <x:c r="I408" s="40" t="n">
        <x:v>48</x:v>
      </x:c>
      <x:c r="J408" s="33" t="str">
        <x:v>Accord-cadre</x:v>
      </x:c>
      <x:c r="K408" s="33" t="str">
        <x:v>Appel d'offres restreint</x:v>
      </x:c>
      <x:c r="L408" s="33" t="str"/>
      <x:c r="M408" s="33" t="str">
        <x:v>(49) Maine-et-Loire</x:v>
      </x:c>
      <x:c r="N408" s="33" t="str">
        <x:v>Oui</x:v>
      </x:c>
      <x:c r="O408" s="33" t="str">
        <x:v>data.gouv.fr_aife</x:v>
      </x:c>
      <x:c r="P408" s="33" t="str">
        <x:v>20182018F4104200</x:v>
      </x:c>
    </x:row>
    <x:row r="409">
      <x:c r="A409" s="33" t="str">
        <x:v>20182018F4108500</x:v>
      </x:c>
      <x:c r="B409" s="33" t="str">
        <x:v>MINARM / SCA / PFC RBT - Plate-forme commissariat Rambouillet</x:v>
      </x:c>
      <x:c r="C409" s="33" t="str">
        <x:v>LARZUL</x:v>
      </x:c>
      <x:c r="D409" s="33" t="str">
        <x:v>FOURNITURE DE DESSERTS AUX FRUITS ENRICHIS LONGUE CONSERVATION</x:v>
      </x:c>
      <x:c r="E409" s="33" t="str">
        <x:v>Rations de campagne.</x:v>
      </x:c>
      <x:c r="F409" s="36" t="n">
        <x:v>400000</x:v>
      </x:c>
      <x:c r="G409" s="38" t="n">
        <x:v>43409</x:v>
      </x:c>
      <x:c r="H409" s="38" t="n">
        <x:v>43409</x:v>
      </x:c>
      <x:c r="I409" s="40" t="n">
        <x:v>48</x:v>
      </x:c>
      <x:c r="J409" s="33" t="str">
        <x:v>Accord-cadre</x:v>
      </x:c>
      <x:c r="K409" s="33" t="str">
        <x:v>Appel d'offres restreint</x:v>
      </x:c>
      <x:c r="L409" s="33" t="str"/>
      <x:c r="M409" s="33" t="str">
        <x:v>(49) Maine-et-Loire</x:v>
      </x:c>
      <x:c r="N409" s="33" t="str">
        <x:v>Oui</x:v>
      </x:c>
      <x:c r="O409" s="33" t="str">
        <x:v>data.gouv.fr_aife</x:v>
      </x:c>
      <x:c r="P409" s="33" t="str">
        <x:v>20182018F4108500</x:v>
      </x:c>
    </x:row>
    <x:row r="410">
      <x:c r="A410" s="33" t="str">
        <x:v>20182018F4109200</x:v>
      </x:c>
      <x:c r="B410" s="33" t="str">
        <x:v>MINARM / SCA / PFC RBT - Plate-forme commissariat Rambouillet</x:v>
      </x:c>
      <x:c r="C410" s="33" t="str">
        <x:v>IDHEA</x:v>
      </x:c>
      <x:c r="D410" s="33" t="str">
        <x:v>FOURNITURE DE CAFÉ LYOPHILISE DOSETTE</x:v>
      </x:c>
      <x:c r="E410" s="33" t="str">
        <x:v>Rations de campagne.</x:v>
      </x:c>
      <x:c r="F410" s="36" t="n">
        <x:v>240000</x:v>
      </x:c>
      <x:c r="G410" s="38" t="n">
        <x:v>43409</x:v>
      </x:c>
      <x:c r="H410" s="38" t="n">
        <x:v>43409</x:v>
      </x:c>
      <x:c r="I410" s="40" t="n">
        <x:v>48</x:v>
      </x:c>
      <x:c r="J410" s="33" t="str">
        <x:v>Accord-cadre</x:v>
      </x:c>
      <x:c r="K410" s="33" t="str">
        <x:v>Appel d'offres restreint</x:v>
      </x:c>
      <x:c r="L410" s="33" t="str"/>
      <x:c r="M410" s="33" t="str">
        <x:v>(49) Maine-et-Loire</x:v>
      </x:c>
      <x:c r="N410" s="33" t="str">
        <x:v>Oui</x:v>
      </x:c>
      <x:c r="O410" s="33" t="str">
        <x:v>data.gouv.fr_aife</x:v>
      </x:c>
      <x:c r="P410" s="33" t="str">
        <x:v>20182018F4109200</x:v>
      </x:c>
    </x:row>
    <x:row r="411">
      <x:c r="A411" s="33" t="str">
        <x:v>2018100013151700</x:v>
      </x:c>
      <x:c r="B411" s="33" t="str">
        <x:v>MINARM / SSF / DSSF Toulon - Direction du service de soutien de la flotte de Toulon - DSSF Toulon</x:v>
      </x:c>
      <x:c r="C411" s="33" t="str">
        <x:v>LOGNAV-CM</x:v>
      </x:c>
      <x:c r="D411" s="33" t="str">
        <x:v>Accord cadre N° 2016 M 16 T 20 010 relatif à l’approvisionnement de matériels électriques et électroniques pour le maintien en condition opérationnelle (MCO) des Eléments de Force Maritime (EFM) et des Eléments de Force Armées (EFA). -</x:v>
      </x:c>
      <x:c r="E411" s="33" t="str">
        <x:v>Pièces électroniques et électriques de rechange pour navires de guerre.</x:v>
      </x:c>
      <x:c r="F411" s="36" t="n">
        <x:v>612</x:v>
      </x:c>
      <x:c r="G411" s="38" t="n">
        <x:v>43409</x:v>
      </x:c>
      <x:c r="H411" s="38" t="n">
        <x:v>43409</x:v>
      </x:c>
      <x:c r="I411" s="40" t="n">
        <x:v>2</x:v>
      </x:c>
      <x:c r="J411" s="33" t="str">
        <x:v>Marché subséquent</x:v>
      </x:c>
      <x:c r="K411" s="33" t="str">
        <x:v>Appel d'offres ouvert</x:v>
      </x:c>
      <x:c r="L411" s="33" t="str">
        <x:v>Ferme et actualisable</x:v>
      </x:c>
      <x:c r="M411" s="33" t="str">
        <x:v>(83) Var</x:v>
      </x:c>
      <x:c r="N411" s="33" t="str">
        <x:v>Oui</x:v>
      </x:c>
      <x:c r="O411" s="33" t="str">
        <x:v>data.gouv.fr_aife</x:v>
      </x:c>
      <x:c r="P411" s="33" t="str">
        <x:v>2018100013151700</x:v>
      </x:c>
    </x:row>
    <x:row r="412">
      <x:c r="A412" s="33" t="str">
        <x:v>2018150906579900</x:v>
      </x:c>
      <x:c r="B412" s="33" t="str">
        <x:v>MINARM / SSA / DAPSA - Direction des Approvisionnements en produits de santé des armées</x:v>
      </x:c>
      <x:c r="C412" s="33" t="str">
        <x:v>World Precision Instruments</x:v>
      </x:c>
      <x:c r="D412" s="33" t="str">
        <x:v>Acquisition dun système complet pour recueil et analyse du comportement du rongeur - - Oxymètre de pouls chez le rongeur</x:v>
      </x:c>
      <x:c r="E412" s="33" t="str">
        <x:v>Instruments de chirurgie.</x:v>
      </x:c>
      <x:c r="F412" s="36" t="n">
        <x:v>3030</x:v>
      </x:c>
      <x:c r="G412" s="38" t="n">
        <x:v>43409</x:v>
      </x:c>
      <x:c r="H412" s="38" t="n">
        <x:v>43409</x:v>
      </x:c>
      <x:c r="I412" s="40" t="n">
        <x:v>6</x:v>
      </x:c>
      <x:c r="J412" s="33" t="str">
        <x:v>Accord-cadre</x:v>
      </x:c>
      <x:c r="K412" s="33" t="str">
        <x:v>Procédure adaptée</x:v>
      </x:c>
      <x:c r="L412" s="33" t="str">
        <x:v>Ferme</x:v>
      </x:c>
      <x:c r="M412" s="33" t="str">
        <x:v>(45) Loiret</x:v>
      </x:c>
      <x:c r="N412" s="33" t="str">
        <x:v>Oui</x:v>
      </x:c>
      <x:c r="O412" s="33" t="str">
        <x:v>data.gouv.fr_aife</x:v>
      </x:c>
      <x:c r="P412" s="33" t="str">
        <x:v>2018150906579900</x:v>
      </x:c>
    </x:row>
    <x:row r="413">
      <x:c r="A413" s="33" t="str">
        <x:v>20182018F4103400</x:v>
      </x:c>
      <x:c r="B413" s="33" t="str">
        <x:v>MINARM / SCA / PFC RBT - Plate-forme commissariat Rambouillet</x:v>
      </x:c>
      <x:c r="C413" s="33" t="str">
        <x:v>S.P.O.</x:v>
      </x:c>
      <x:c r="D413" s="33" t="str">
        <x:v>FOURNITURE DE COMPOSANTS POUR RATIONS SPÉCIALES</x:v>
      </x:c>
      <x:c r="E413" s="33" t="str">
        <x:v>Rations de campagne.</x:v>
      </x:c>
      <x:c r="F413" s="36" t="n">
        <x:v>11113600</x:v>
      </x:c>
      <x:c r="G413" s="38" t="n">
        <x:v>43409</x:v>
      </x:c>
      <x:c r="H413" s="38" t="n">
        <x:v>43409</x:v>
      </x:c>
      <x:c r="I413" s="40" t="n">
        <x:v>48</x:v>
      </x:c>
      <x:c r="J413" s="33" t="str">
        <x:v>Accord-cadre</x:v>
      </x:c>
      <x:c r="K413" s="33" t="str">
        <x:v>Appel d'offres restreint</x:v>
      </x:c>
      <x:c r="L413" s="33" t="str"/>
      <x:c r="M413" s="33" t="str">
        <x:v>(49) Maine-et-Loire</x:v>
      </x:c>
      <x:c r="N413" s="33" t="str">
        <x:v>Oui</x:v>
      </x:c>
      <x:c r="O413" s="33" t="str">
        <x:v>data.gouv.fr_aife</x:v>
      </x:c>
      <x:c r="P413" s="33" t="str">
        <x:v>20182018F4103400</x:v>
      </x:c>
    </x:row>
    <x:row r="414">
      <x:c r="A414" s="33" t="str">
        <x:v>20182018F4103500</x:v>
      </x:c>
      <x:c r="B414" s="33" t="str">
        <x:v>MINARM / SCA / PFC RBT - Plate-forme commissariat Rambouillet</x:v>
      </x:c>
      <x:c r="C414" s="33" t="str">
        <x:v>LJ IMPORT EXPORT</x:v>
      </x:c>
      <x:c r="D414" s="33" t="str">
        <x:v>FOURNITURE DE COMPOSANTS POUR RATIONS SPÉCIALES</x:v>
      </x:c>
      <x:c r="E414" s="33" t="str">
        <x:v>Rations de campagne.</x:v>
      </x:c>
      <x:c r="F414" s="36" t="n">
        <x:v>11113600</x:v>
      </x:c>
      <x:c r="G414" s="38" t="n">
        <x:v>43409</x:v>
      </x:c>
      <x:c r="H414" s="38" t="n">
        <x:v>43409</x:v>
      </x:c>
      <x:c r="I414" s="40" t="n">
        <x:v>48</x:v>
      </x:c>
      <x:c r="J414" s="33" t="str">
        <x:v>Accord-cadre</x:v>
      </x:c>
      <x:c r="K414" s="33" t="str">
        <x:v>Appel d'offres restreint</x:v>
      </x:c>
      <x:c r="L414" s="33" t="str"/>
      <x:c r="M414" s="33" t="str">
        <x:v>(49) Maine-et-Loire</x:v>
      </x:c>
      <x:c r="N414" s="33" t="str">
        <x:v>Oui</x:v>
      </x:c>
      <x:c r="O414" s="33" t="str">
        <x:v>data.gouv.fr_aife</x:v>
      </x:c>
      <x:c r="P414" s="33" t="str">
        <x:v>20182018F4103500</x:v>
      </x:c>
    </x:row>
    <x:row r="415">
      <x:c r="A415" s="33" t="str">
        <x:v>20182018F4103700</x:v>
      </x:c>
      <x:c r="B415" s="33" t="str">
        <x:v>MINARM / SCA / PFC RBT - Plate-forme commissariat Rambouillet</x:v>
      </x:c>
      <x:c r="C415" s="33" t="str">
        <x:v>NOUGAT CHABERT ET GUILLOT</x:v>
      </x:c>
      <x:c r="D415" s="33" t="str">
        <x:v>FOURNITURE DE COMPOSANTS POUR RATIONS SPÉCIALES</x:v>
      </x:c>
      <x:c r="E415" s="33" t="str">
        <x:v>Rations de campagne.</x:v>
      </x:c>
      <x:c r="F415" s="36" t="n">
        <x:v>11113600</x:v>
      </x:c>
      <x:c r="G415" s="38" t="n">
        <x:v>43409</x:v>
      </x:c>
      <x:c r="H415" s="38" t="n">
        <x:v>43409</x:v>
      </x:c>
      <x:c r="I415" s="40" t="n">
        <x:v>48</x:v>
      </x:c>
      <x:c r="J415" s="33" t="str">
        <x:v>Accord-cadre</x:v>
      </x:c>
      <x:c r="K415" s="33" t="str">
        <x:v>Appel d'offres restreint</x:v>
      </x:c>
      <x:c r="L415" s="33" t="str"/>
      <x:c r="M415" s="33" t="str">
        <x:v>(49) Maine-et-Loire</x:v>
      </x:c>
      <x:c r="N415" s="33" t="str">
        <x:v>Oui</x:v>
      </x:c>
      <x:c r="O415" s="33" t="str">
        <x:v>data.gouv.fr_aife</x:v>
      </x:c>
      <x:c r="P415" s="33" t="str">
        <x:v>20182018F4103700</x:v>
      </x:c>
    </x:row>
    <x:row r="416">
      <x:c r="A416" s="33" t="str">
        <x:v>20182018F4103900</x:v>
      </x:c>
      <x:c r="B416" s="33" t="str">
        <x:v>MINARM / SCA / PFC RBT - Plate-forme commissariat Rambouillet</x:v>
      </x:c>
      <x:c r="C416" s="33" t="str">
        <x:v>LARZUL</x:v>
      </x:c>
      <x:c r="D416" s="33" t="str">
        <x:v>FOURNITURE DE COMPOSANTS POUR RATIONS SPÉCIALES</x:v>
      </x:c>
      <x:c r="E416" s="33" t="str">
        <x:v>Rations de campagne.</x:v>
      </x:c>
      <x:c r="F416" s="36" t="n">
        <x:v>11113600</x:v>
      </x:c>
      <x:c r="G416" s="38" t="n">
        <x:v>43409</x:v>
      </x:c>
      <x:c r="H416" s="38" t="n">
        <x:v>43409</x:v>
      </x:c>
      <x:c r="I416" s="40" t="n">
        <x:v>48</x:v>
      </x:c>
      <x:c r="J416" s="33" t="str">
        <x:v>Accord-cadre</x:v>
      </x:c>
      <x:c r="K416" s="33" t="str">
        <x:v>Appel d'offres restreint</x:v>
      </x:c>
      <x:c r="L416" s="33" t="str"/>
      <x:c r="M416" s="33" t="str">
        <x:v>(49) Maine-et-Loire</x:v>
      </x:c>
      <x:c r="N416" s="33" t="str">
        <x:v>Oui</x:v>
      </x:c>
      <x:c r="O416" s="33" t="str">
        <x:v>data.gouv.fr_aife</x:v>
      </x:c>
      <x:c r="P416" s="33" t="str">
        <x:v>20182018F4103900</x:v>
      </x:c>
    </x:row>
    <x:row r="417">
      <x:c r="A417" s="33" t="str">
        <x:v>20182018F4104400</x:v>
      </x:c>
      <x:c r="B417" s="33" t="str">
        <x:v>MINARM / SCA / PFC RBT - Plate-forme commissariat Rambouillet</x:v>
      </x:c>
      <x:c r="C417" s="33" t="str">
        <x:v>TITOK DISTRIBUTION</x:v>
      </x:c>
      <x:c r="D417" s="33" t="str">
        <x:v>FOURNITURE DE COMPOSANTS POUR RATIONS SPÉCIALES</x:v>
      </x:c>
      <x:c r="E417" s="33" t="str">
        <x:v>Rations de campagne.</x:v>
      </x:c>
      <x:c r="F417" s="36" t="n">
        <x:v>11113600</x:v>
      </x:c>
      <x:c r="G417" s="38" t="n">
        <x:v>43409</x:v>
      </x:c>
      <x:c r="H417" s="38" t="n">
        <x:v>43409</x:v>
      </x:c>
      <x:c r="I417" s="40" t="n">
        <x:v>48</x:v>
      </x:c>
      <x:c r="J417" s="33" t="str">
        <x:v>Accord-cadre</x:v>
      </x:c>
      <x:c r="K417" s="33" t="str">
        <x:v>Appel d'offres restreint</x:v>
      </x:c>
      <x:c r="L417" s="33" t="str"/>
      <x:c r="M417" s="33" t="str">
        <x:v>(49) Maine-et-Loire</x:v>
      </x:c>
      <x:c r="N417" s="33" t="str">
        <x:v>Oui</x:v>
      </x:c>
      <x:c r="O417" s="33" t="str">
        <x:v>data.gouv.fr_aife</x:v>
      </x:c>
      <x:c r="P417" s="33" t="str">
        <x:v>20182018F4104400</x:v>
      </x:c>
    </x:row>
    <x:row r="418">
      <x:c r="A418" s="33" t="str">
        <x:v>20182018F4107500</x:v>
      </x:c>
      <x:c r="B418" s="33" t="str">
        <x:v>MINARM / SCA / PFC RBT - Plate-forme commissariat Rambouillet</x:v>
      </x:c>
      <x:c r="C418" s="33" t="str">
        <x:v>ATMOSPH AIR KATADYN FRANCE</x:v>
      </x:c>
      <x:c r="D418" s="33" t="str">
        <x:v>FOURNITURE DE BISCUITS DE SURVIE ET D’URGENCE</x:v>
      </x:c>
      <x:c r="E418" s="33" t="str">
        <x:v>Rations de campagne.</x:v>
      </x:c>
      <x:c r="F418" s="36" t="n">
        <x:v>912800</x:v>
      </x:c>
      <x:c r="G418" s="38" t="n">
        <x:v>43409</x:v>
      </x:c>
      <x:c r="H418" s="38" t="n">
        <x:v>43409</x:v>
      </x:c>
      <x:c r="I418" s="40" t="n">
        <x:v>48</x:v>
      </x:c>
      <x:c r="J418" s="33" t="str">
        <x:v>Accord-cadre</x:v>
      </x:c>
      <x:c r="K418" s="33" t="str">
        <x:v>Appel d'offres restreint</x:v>
      </x:c>
      <x:c r="L418" s="33" t="str"/>
      <x:c r="M418" s="33" t="str">
        <x:v>(49) Maine-et-Loire</x:v>
      </x:c>
      <x:c r="N418" s="33" t="str">
        <x:v>Oui</x:v>
      </x:c>
      <x:c r="O418" s="33" t="str">
        <x:v>data.gouv.fr_aife</x:v>
      </x:c>
      <x:c r="P418" s="33" t="str">
        <x:v>20182018F4107500</x:v>
      </x:c>
    </x:row>
    <x:row r="419">
      <x:c r="A419" s="33" t="str">
        <x:v>20182018F4108200</x:v>
      </x:c>
      <x:c r="B419" s="33" t="str">
        <x:v>MINARM / SCA / PFC RBT - Plate-forme commissariat Rambouillet</x:v>
      </x:c>
      <x:c r="C419" s="33" t="str">
        <x:v>SOCIETE NOUVELLE YABON VERNEUIL</x:v>
      </x:c>
      <x:c r="D419" s="33" t="str">
        <x:v>FOURNITURE DE CRÈME DESSERT LONGUE CONSERVATION</x:v>
      </x:c>
      <x:c r="E419" s="33" t="str">
        <x:v>Rations de campagne.</x:v>
      </x:c>
      <x:c r="F419" s="36" t="n">
        <x:v>800000</x:v>
      </x:c>
      <x:c r="G419" s="38" t="n">
        <x:v>43409</x:v>
      </x:c>
      <x:c r="H419" s="38" t="n">
        <x:v>43409</x:v>
      </x:c>
      <x:c r="I419" s="40" t="n">
        <x:v>48</x:v>
      </x:c>
      <x:c r="J419" s="33" t="str">
        <x:v>Accord-cadre</x:v>
      </x:c>
      <x:c r="K419" s="33" t="str">
        <x:v>Appel d'offres restreint</x:v>
      </x:c>
      <x:c r="L419" s="33" t="str"/>
      <x:c r="M419" s="33" t="str">
        <x:v>(49) Maine-et-Loire</x:v>
      </x:c>
      <x:c r="N419" s="33" t="str">
        <x:v>Oui</x:v>
      </x:c>
      <x:c r="O419" s="33" t="str">
        <x:v>data.gouv.fr_aife</x:v>
      </x:c>
      <x:c r="P419" s="33" t="str">
        <x:v>20182018F4108200</x:v>
      </x:c>
    </x:row>
    <x:row r="420">
      <x:c r="A420" s="33" t="str">
        <x:v>20182018F4108600</x:v>
      </x:c>
      <x:c r="B420" s="33" t="str">
        <x:v>MINARM / SCA / PFC RBT - Plate-forme commissariat Rambouillet</x:v>
      </x:c>
      <x:c r="C420" s="33" t="str">
        <x:v>SOCIETE NOUVELLE YABON VERNEUIL</x:v>
      </x:c>
      <x:c r="D420" s="33" t="str">
        <x:v>FOURNITURE DE DESSERTS FRUITS CÉRÉALES GRAINES LONGUE CONSERVATION</x:v>
      </x:c>
      <x:c r="E420" s="33" t="str">
        <x:v>Rations de campagne.</x:v>
      </x:c>
      <x:c r="F420" s="36" t="n">
        <x:v>640000</x:v>
      </x:c>
      <x:c r="G420" s="38" t="n">
        <x:v>43409</x:v>
      </x:c>
      <x:c r="H420" s="38" t="n">
        <x:v>43409</x:v>
      </x:c>
      <x:c r="I420" s="40" t="n">
        <x:v>48</x:v>
      </x:c>
      <x:c r="J420" s="33" t="str">
        <x:v>Accord-cadre</x:v>
      </x:c>
      <x:c r="K420" s="33" t="str">
        <x:v>Appel d'offres restreint</x:v>
      </x:c>
      <x:c r="L420" s="33" t="str"/>
      <x:c r="M420" s="33" t="str">
        <x:v>(49) Maine-et-Loire</x:v>
      </x:c>
      <x:c r="N420" s="33" t="str">
        <x:v>Oui</x:v>
      </x:c>
      <x:c r="O420" s="33" t="str">
        <x:v>data.gouv.fr_aife</x:v>
      </x:c>
      <x:c r="P420" s="33" t="str">
        <x:v>20182018F4108600</x:v>
      </x:c>
    </x:row>
    <x:row r="421">
      <x:c r="A421" s="33" t="str">
        <x:v>2018150903146700</x:v>
      </x:c>
      <x:c r="B421" s="33" t="str">
        <x:v>MINARM / DGA / DO / S2A / PROD / DA-BA - Division achats - Toulouse/Balma</x:v>
      </x:c>
      <x:c r="C421" s="33" t="str">
        <x:v>PENSER MAITRISER TECHNICITE LOGISTIQUE</x:v>
      </x:c>
      <x:c r="D421" s="33" t="str">
        <x:v>Fabrication de grappes et de lignes d'effort - 2ème partie</x:v>
      </x:c>
      <x:c r="E421" s="33" t="str">
        <x:v>Machines industrielles.</x:v>
      </x:c>
      <x:c r="F421" s="36" t="n">
        <x:v>180837</x:v>
      </x:c>
      <x:c r="G421" s="38" t="n">
        <x:v>43409</x:v>
      </x:c>
      <x:c r="H421" s="38" t="n">
        <x:v>43409</x:v>
      </x:c>
      <x:c r="I421" s="40" t="n">
        <x:v>4</x:v>
      </x:c>
      <x:c r="J421" s="33" t="str"/>
      <x:c r="K421" s="33" t="str"/>
      <x:c r="L421" s="33" t="str"/>
      <x:c r="M421" s="33" t="str">
        <x:v>(31) Haute-Garonne</x:v>
      </x:c>
      <x:c r="N421" s="33" t="str">
        <x:v>Oui</x:v>
      </x:c>
      <x:c r="O421" s="33" t="str">
        <x:v>data.gouv.fr_aife</x:v>
      </x:c>
      <x:c r="P421" s="33" t="str">
        <x:v>2018150903146700</x:v>
      </x:c>
    </x:row>
    <x:row r="422">
      <x:c r="A422" s="33" t="str">
        <x:v>2018170008972500</x:v>
      </x:c>
      <x:c r="B422" s="33" t="str">
        <x:v>MINARM / DGA / DO / S2A / PROD / DA-BA - Division achats - Toulouse/Balma</x:v>
      </x:c>
      <x:c r="C422" s="33" t="str">
        <x:v>AXESSIM</x:v>
      </x:c>
      <x:c r="D422" s="33" t="str">
        <x:v>Acquisition et location de modules de CUTOO-FD</x:v>
      </x:c>
      <x:c r="E422" s="33" t="str">
        <x:v>Logiciels et systèmes d'information.</x:v>
      </x:c>
      <x:c r="F422" s="36" t="n">
        <x:v>250000</x:v>
      </x:c>
      <x:c r="G422" s="38" t="n">
        <x:v>43409</x:v>
      </x:c>
      <x:c r="H422" s="38" t="n">
        <x:v>43409</x:v>
      </x:c>
      <x:c r="I422" s="40" t="n">
        <x:v>60</x:v>
      </x:c>
      <x:c r="J422" s="33" t="str">
        <x:v>Accord-cadre</x:v>
      </x:c>
      <x:c r="K422" s="33" t="str"/>
      <x:c r="L422" s="33" t="str">
        <x:v>Révisable</x:v>
      </x:c>
      <x:c r="M422" s="33" t="str">
        <x:v>(31) Haute-Garonne</x:v>
      </x:c>
      <x:c r="N422" s="33" t="str">
        <x:v>Oui</x:v>
      </x:c>
      <x:c r="O422" s="33" t="str">
        <x:v>data.gouv.fr_aife</x:v>
      </x:c>
      <x:c r="P422" s="33" t="str">
        <x:v>2018170008972500</x:v>
      </x:c>
    </x:row>
    <x:row r="423">
      <x:c r="A423" s="33" t="str">
        <x:v>2018100013165100</x:v>
      </x:c>
      <x:c r="B423" s="33" t="str">
        <x:v>MINARM / SSF / DSSF Toulon - Direction du service de soutien de la flotte de Toulon - DSSF Toulon</x:v>
      </x:c>
      <x:c r="C423" s="33" t="str">
        <x:v>LE LITTORAL</x:v>
      </x:c>
      <x:c r="D423" s="33" t="str">
        <x:v>Accord-Cadre M16T20 010 relatif à l’approvisionnement de matériels électriques et électroniques pour le maintien en condition opérationnelle des Éléments de Force Maritime</x:v>
      </x:c>
      <x:c r="E423" s="33" t="str">
        <x:v>Pièces électroniques et électriques de rechange pour navires de guerre.</x:v>
      </x:c>
      <x:c r="F423" s="36" t="n">
        <x:v>1288</x:v>
      </x:c>
      <x:c r="G423" s="38" t="n">
        <x:v>43409</x:v>
      </x:c>
      <x:c r="H423" s="38" t="n">
        <x:v>43409</x:v>
      </x:c>
      <x:c r="I423" s="40" t="n">
        <x:v>12</x:v>
      </x:c>
      <x:c r="J423" s="33" t="str">
        <x:v>Marché subséquent</x:v>
      </x:c>
      <x:c r="K423" s="33" t="str">
        <x:v>Appel d'offres ouvert</x:v>
      </x:c>
      <x:c r="L423" s="33" t="str">
        <x:v>Ferme et actualisable</x:v>
      </x:c>
      <x:c r="M423" s="33" t="str">
        <x:v>(83) Var</x:v>
      </x:c>
      <x:c r="N423" s="33" t="str">
        <x:v>Oui</x:v>
      </x:c>
      <x:c r="O423" s="33" t="str">
        <x:v>data.gouv.fr_aife</x:v>
      </x:c>
      <x:c r="P423" s="33" t="str">
        <x:v>2018100013165100</x:v>
      </x:c>
    </x:row>
    <x:row r="424">
      <x:c r="A424" s="33" t="str">
        <x:v>2018100013063800</x:v>
      </x:c>
      <x:c r="B424" s="33" t="str">
        <x:v>MINARM / SSF / DSSF Toulon - Direction du service de soutien de la flotte de Toulon - DSSF Toulon</x:v>
      </x:c>
      <x:c r="C424" s="33" t="str">
        <x:v>AART ELECTRONICS</x:v>
      </x:c>
      <x:c r="D424" s="33" t="str">
        <x:v>Accord-Cadre M16T20 010 relatif à l’approvisionnement de matériels électriques et électroniques pour le maintien en condition opérationnelle des Eléments de Force Maritime</x:v>
      </x:c>
      <x:c r="E424" s="33" t="str">
        <x:v>Pièces électroniques et électriques de rechange pour navires de guerre.</x:v>
      </x:c>
      <x:c r="F424" s="36" t="n">
        <x:v>2328</x:v>
      </x:c>
      <x:c r="G424" s="38" t="n">
        <x:v>43410</x:v>
      </x:c>
      <x:c r="H424" s="38" t="n">
        <x:v>43410</x:v>
      </x:c>
      <x:c r="I424" s="40" t="n">
        <x:v>12</x:v>
      </x:c>
      <x:c r="J424" s="33" t="str"/>
      <x:c r="K424" s="33" t="str"/>
      <x:c r="L424" s="33" t="str"/>
      <x:c r="M424" s="33" t="str">
        <x:v>(83) Var</x:v>
      </x:c>
      <x:c r="N424" s="33" t="str">
        <x:v>Oui</x:v>
      </x:c>
      <x:c r="O424" s="33" t="str">
        <x:v>data.gouv.fr_aife</x:v>
      </x:c>
      <x:c r="P424" s="33" t="str">
        <x:v>2018100013063800</x:v>
      </x:c>
    </x:row>
    <x:row r="425">
      <x:c r="A425" s="33" t="str">
        <x:v>2018100013155100</x:v>
      </x:c>
      <x:c r="B425" s="33" t="str">
        <x:v>MINARM / SSF / DSSF Toulon - Direction du service de soutien de la flotte de Toulon - DSSF Toulon</x:v>
      </x:c>
      <x:c r="C425" s="33" t="str">
        <x:v>MEGA SARL</x:v>
      </x:c>
      <x:c r="D425" s="33" t="str">
        <x:v>Accord cadre N° 2016 M 16 T 20 004 relatif à la fourniture de matériels de transmission mécanique et de propulsion pour les besoins nécessaires au maintien en condition opérationnelle des Eléments de la Force Maritime et des Eléments de la Force A</x:v>
      </x:c>
      <x:c r="E425" s="33" t="str">
        <x:v>Moteur et pièces de moteur pour navires de guerre.</x:v>
      </x:c>
      <x:c r="F425" s="36" t="n">
        <x:v>14778</x:v>
      </x:c>
      <x:c r="G425" s="38" t="n">
        <x:v>43410</x:v>
      </x:c>
      <x:c r="H425" s="38" t="n">
        <x:v>43410</x:v>
      </x:c>
      <x:c r="I425" s="40" t="n">
        <x:v>2</x:v>
      </x:c>
      <x:c r="J425" s="33" t="str">
        <x:v>Marché subséquent</x:v>
      </x:c>
      <x:c r="K425" s="33" t="str">
        <x:v>Appel d'offres ouvert</x:v>
      </x:c>
      <x:c r="L425" s="33" t="str">
        <x:v>Ferme et actualisable</x:v>
      </x:c>
      <x:c r="M425" s="33" t="str">
        <x:v>(83) Var</x:v>
      </x:c>
      <x:c r="N425" s="33" t="str">
        <x:v>Oui</x:v>
      </x:c>
      <x:c r="O425" s="33" t="str">
        <x:v>data.gouv.fr_aife</x:v>
      </x:c>
      <x:c r="P425" s="33" t="str">
        <x:v>2018100013155100</x:v>
      </x:c>
    </x:row>
    <x:row r="426">
      <x:c r="A426" s="33" t="str">
        <x:v>2018100013168600</x:v>
      </x:c>
      <x:c r="B426" s="33" t="str">
        <x:v>MINARM / SGA / SID / ESID Bordeaux - Etablissement du service d'infrastructure de la défense de Bordeaux - ESID Bordeaux</x:v>
      </x:c>
      <x:c r="C426" s="33" t="str">
        <x:v>COUGNAUD CONSTRUCTION</x:v>
      </x:c>
      <x:c r="D426" s="33" t="str">
        <x:v>La Cavalerie - bâtiment modulaire antenne médicale - aménagement du cabinet dentaire</x:v>
      </x:c>
      <x:c r="E426" s="33" t="str">
        <x:v>Aménagements divers.</x:v>
      </x:c>
      <x:c r="F426" s="36" t="n">
        <x:v>83630</x:v>
      </x:c>
      <x:c r="G426" s="38" t="n">
        <x:v>43410</x:v>
      </x:c>
      <x:c r="H426" s="38" t="n">
        <x:v>43410</x:v>
      </x:c>
      <x:c r="I426" s="40" t="n">
        <x:v>3</x:v>
      </x:c>
      <x:c r="J426" s="33" t="str">
        <x:v>Marché</x:v>
      </x:c>
      <x:c r="K426" s="33" t="str"/>
      <x:c r="L426" s="33" t="str">
        <x:v>Ferme et actualisable</x:v>
      </x:c>
      <x:c r="M426" s="33" t="str">
        <x:v>(12) Aveyron</x:v>
      </x:c>
      <x:c r="N426" s="33" t="str">
        <x:v>Oui</x:v>
      </x:c>
      <x:c r="O426" s="33" t="str">
        <x:v>data.gouv.fr_aife</x:v>
      </x:c>
      <x:c r="P426" s="33" t="str">
        <x:v>2018100013168600</x:v>
      </x:c>
    </x:row>
    <x:row r="427">
      <x:c r="A427" s="33" t="str">
        <x:v>2018150907632100</x:v>
      </x:c>
      <x:c r="B427" s="33" t="str">
        <x:v>MINARM / SSF / DSSF Brest - Direction du service de soutien de la flotte de Brest - DSSF Brest</x:v>
      </x:c>
      <x:c r="C427" s="33" t="str">
        <x:v>LOGNAV-CM</x:v>
      </x:c>
      <x:c r="D427" s="33" t="str">
        <x:v>Approvisionnement d’un moteur réducteur électrique de marques diverses ou équivalents au profit d’un bâtiment de la Marine Nationale</x:v>
      </x:c>
      <x:c r="E427" s="33" t="str">
        <x:v>Pièces électroniques et électriques de rechange pour navires de guerre.</x:v>
      </x:c>
      <x:c r="F427" s="36" t="n">
        <x:v>765</x:v>
      </x:c>
      <x:c r="G427" s="38" t="n">
        <x:v>43410</x:v>
      </x:c>
      <x:c r="H427" s="38" t="n">
        <x:v>43410</x:v>
      </x:c>
      <x:c r="I427" s="40" t="n">
        <x:v>1</x:v>
      </x:c>
      <x:c r="J427" s="33" t="str">
        <x:v>Marché</x:v>
      </x:c>
      <x:c r="K427" s="33" t="str">
        <x:v>Procédure adaptée</x:v>
      </x:c>
      <x:c r="L427" s="33" t="str">
        <x:v>Ferme</x:v>
      </x:c>
      <x:c r="M427" s="33" t="str">
        <x:v>(29) Finistère</x:v>
      </x:c>
      <x:c r="N427" s="33" t="str">
        <x:v>Oui</x:v>
      </x:c>
      <x:c r="O427" s="33" t="str">
        <x:v>data.gouv.fr_aife</x:v>
      </x:c>
      <x:c r="P427" s="33" t="str">
        <x:v>2018150907632100</x:v>
      </x:c>
    </x:row>
    <x:row r="428">
      <x:c r="A428" s="33" t="str">
        <x:v>2018100013153200</x:v>
      </x:c>
      <x:c r="B428" s="33" t="str">
        <x:v>MINARM / SSF / DSSF Toulon - Direction du service de soutien de la flotte de Toulon - DSSF Toulon</x:v>
      </x:c>
      <x:c r="C428" s="33" t="str">
        <x:v>SARL EUROFOURNISUD</x:v>
      </x:c>
      <x:c r="D428" s="33" t="str">
        <x:v>Accord cadre N° 2015M15T20052 relatif à l’approvisionnement de matériels de filtration pour le maintien en condition opérationnelle (MCO) des Eléments de Force Maritime (EFM) et des Eléments de Force Armées (EFA). - Marché subséquent : N° K18T20</x:v>
      </x:c>
      <x:c r="E428" s="33" t="str">
        <x:v>Filtres à huile, filtres à essence et filtres à air.</x:v>
      </x:c>
      <x:c r="F428" s="36" t="n">
        <x:v>22810</x:v>
      </x:c>
      <x:c r="G428" s="38" t="n">
        <x:v>43410</x:v>
      </x:c>
      <x:c r="H428" s="38" t="n">
        <x:v>43410</x:v>
      </x:c>
      <x:c r="I428" s="40" t="n">
        <x:v>12</x:v>
      </x:c>
      <x:c r="J428" s="33" t="str">
        <x:v>Marché subséquent</x:v>
      </x:c>
      <x:c r="K428" s="33" t="str">
        <x:v>Appel d'offres ouvert</x:v>
      </x:c>
      <x:c r="L428" s="33" t="str">
        <x:v>Ferme et actualisable</x:v>
      </x:c>
      <x:c r="M428" s="33" t="str">
        <x:v>(83) Var</x:v>
      </x:c>
      <x:c r="N428" s="33" t="str">
        <x:v>Oui</x:v>
      </x:c>
      <x:c r="O428" s="33" t="str">
        <x:v>data.gouv.fr_aife</x:v>
      </x:c>
      <x:c r="P428" s="33" t="str">
        <x:v>2018100013153200</x:v>
      </x:c>
    </x:row>
    <x:row r="429">
      <x:c r="A429" s="33" t="str">
        <x:v>2018150905789500</x:v>
      </x:c>
      <x:c r="B429" s="33" t="str">
        <x:v>MINARM / SGA / SID / DID FdF - Direction d'infrastructure de la défense de Fort de France - DID Fort de France</x:v>
      </x:c>
      <x:c r="C429" s="33" t="str">
        <x:v>CYPRES RENOVATION BATIMENTS PUBLICS</x:v>
      </x:c>
      <x:c r="D429" s="33" t="str">
        <x:v>Projet n°18035 - Fort-de-France - Tartenson - Villas A1-B1-C3-D1-G1-22.2 et 008 Madiana - Remise en peinture intérieure.</x:v>
      </x:c>
      <x:c r="E429" s="33" t="str">
        <x:v>Travaux de peinture.</x:v>
      </x:c>
      <x:c r="F429" s="36" t="n">
        <x:v>23375</x:v>
      </x:c>
      <x:c r="G429" s="38" t="n">
        <x:v>43410</x:v>
      </x:c>
      <x:c r="H429" s="38" t="n">
        <x:v>43410</x:v>
      </x:c>
      <x:c r="I429" s="40" t="n">
        <x:v>2</x:v>
      </x:c>
      <x:c r="J429" s="33" t="str">
        <x:v>Marché subséquent</x:v>
      </x:c>
      <x:c r="K429" s="33" t="str">
        <x:v>Appel d'offres ouvert</x:v>
      </x:c>
      <x:c r="L429" s="33" t="str">
        <x:v>Ferme et actualisable</x:v>
      </x:c>
      <x:c r="M429" s="33" t="str">
        <x:v>(972) Martinique</x:v>
      </x:c>
      <x:c r="N429" s="33" t="str">
        <x:v>Oui</x:v>
      </x:c>
      <x:c r="O429" s="33" t="str">
        <x:v>data.gouv.fr_aife</x:v>
      </x:c>
      <x:c r="P429" s="33" t="str">
        <x:v>2018150905789500</x:v>
      </x:c>
    </x:row>
    <x:row r="430">
      <x:c r="A430" s="33" t="str">
        <x:v>2018150902379200</x:v>
      </x:c>
      <x:c r="B430" s="33" t="str">
        <x:v>MINARM / SGA / SID / ESID Metz - Etablissement du service d'infrastructure de la défense de Metz - ESID Metz</x:v>
      </x:c>
      <x:c r="C430" s="33" t="str">
        <x:v>PBS</x:v>
      </x:c>
      <x:c r="D430" s="33" t="str">
        <x:v>PLACE D’OCHEY (54) – BASE AERIENNE 133 – Bâtiment 302 ETD – Création d’une extension et aménagement de locaux pour l’accueil de trois simulateurs de vol -</x:v>
      </x:c>
      <x:c r="E430" s="33" t="str">
        <x:v>Travaux de construction.</x:v>
      </x:c>
      <x:c r="F430" s="36" t="n">
        <x:v>187200</x:v>
      </x:c>
      <x:c r="G430" s="38" t="n">
        <x:v>43410</x:v>
      </x:c>
      <x:c r="H430" s="38" t="n">
        <x:v>43410</x:v>
      </x:c>
      <x:c r="I430" s="40" t="n">
        <x:v>5</x:v>
      </x:c>
      <x:c r="J430" s="33" t="str"/>
      <x:c r="K430" s="33" t="str"/>
      <x:c r="L430" s="33" t="str"/>
      <x:c r="M430" s="33" t="str">
        <x:v>(57) Moselle</x:v>
      </x:c>
      <x:c r="N430" s="33" t="str">
        <x:v>Oui</x:v>
      </x:c>
      <x:c r="O430" s="33" t="str">
        <x:v>data.gouv.fr_aife</x:v>
      </x:c>
      <x:c r="P430" s="33" t="str">
        <x:v>2018150902379200</x:v>
      </x:c>
    </x:row>
    <x:row r="431">
      <x:c r="A431" s="33" t="str">
        <x:v>2018150907305500</x:v>
      </x:c>
      <x:c r="B431" s="33" t="str">
        <x:v>MINARM / SGA / SID / ESID Metz - Etablissement du service d'infrastructure de la défense de Metz - ESID Metz</x:v>
      </x:c>
      <x:c r="C431" s="33" t="str">
        <x:v>E.2.M.K</x:v>
      </x:c>
      <x:c r="D431" s="33" t="str">
        <x:v>MOURMELON (51) Quartier Delestraint BCC Bâtiment 0002 - Réhabilitation dun bâtiment cadres célibataires - Relance du lot n°4 : Menuiseries extérieures Serrureries -</x:v>
      </x:c>
      <x:c r="E431" s="33" t="str">
        <x:v>Travaux de menuiserie.</x:v>
      </x:c>
      <x:c r="F431" s="36" t="n">
        <x:v>83822</x:v>
      </x:c>
      <x:c r="G431" s="38" t="n">
        <x:v>43410</x:v>
      </x:c>
      <x:c r="H431" s="38" t="n">
        <x:v>43410</x:v>
      </x:c>
      <x:c r="I431" s="40" t="n">
        <x:v>12</x:v>
      </x:c>
      <x:c r="J431" s="33" t="str">
        <x:v>Marché</x:v>
      </x:c>
      <x:c r="K431" s="33" t="str">
        <x:v>Appel d'offres ouvert</x:v>
      </x:c>
      <x:c r="L431" s="33" t="str">
        <x:v>Ferme et actualisable</x:v>
      </x:c>
      <x:c r="M431" s="33" t="str">
        <x:v>(51) Marne</x:v>
      </x:c>
      <x:c r="N431" s="33" t="str">
        <x:v>Oui</x:v>
      </x:c>
      <x:c r="O431" s="33" t="str">
        <x:v>data.gouv.fr_aife</x:v>
      </x:c>
      <x:c r="P431" s="33" t="str">
        <x:v>2018150907305500</x:v>
      </x:c>
    </x:row>
    <x:row r="432">
      <x:c r="A432" s="33" t="str">
        <x:v>2018150907309200</x:v>
      </x:c>
      <x:c r="B432" s="33" t="str">
        <x:v>MINARM / SGA / SID / ESID Metz - Etablissement du service d'infrastructure de la défense de Metz - ESID Metz</x:v>
      </x:c>
      <x:c r="C432" s="33" t="str">
        <x:v>BOLLORE PROTECTION</x:v>
      </x:c>
      <x:c r="D432" s="33" t="str">
        <x:v>LILLE (59) caserne Boufflers Bât 0016 - Mise en place d'un passage non gardienné</x:v>
      </x:c>
      <x:c r="E432" s="33" t="str">
        <x:v>Travaux d'installation de clôtures, de garde-corps et de dispositifs de sécurité.</x:v>
      </x:c>
      <x:c r="F432" s="36" t="n">
        <x:v>28230</x:v>
      </x:c>
      <x:c r="G432" s="38" t="n">
        <x:v>43410</x:v>
      </x:c>
      <x:c r="H432" s="38" t="n">
        <x:v>43410</x:v>
      </x:c>
      <x:c r="I432" s="40" t="n">
        <x:v>1</x:v>
      </x:c>
      <x:c r="J432" s="33" t="str">
        <x:v>Marché</x:v>
      </x:c>
      <x:c r="K432" s="33" t="str">
        <x:v>Appel d'offres ouvert</x:v>
      </x:c>
      <x:c r="L432" s="33" t="str">
        <x:v>Ferme</x:v>
      </x:c>
      <x:c r="M432" s="33" t="str">
        <x:v>(59) Nord</x:v>
      </x:c>
      <x:c r="N432" s="33" t="str">
        <x:v>Oui</x:v>
      </x:c>
      <x:c r="O432" s="33" t="str">
        <x:v>data.gouv.fr_aife</x:v>
      </x:c>
      <x:c r="P432" s="33" t="str">
        <x:v>2018150907309200</x:v>
      </x:c>
    </x:row>
    <x:row r="433">
      <x:c r="A433" s="33" t="str">
        <x:v>20182018F4109100</x:v>
      </x:c>
      <x:c r="B433" s="33" t="str">
        <x:v>MINARM / SCA / PFC RBT - Plate-forme commissariat Rambouillet</x:v>
      </x:c>
      <x:c r="C433" s="33" t="str">
        <x:v>TITOK DISTRIBUTION</x:v>
      </x:c>
      <x:c r="D433" s="33" t="str">
        <x:v>FOURNITURE DE CAFÉ LYOPHILISE DOSETTE</x:v>
      </x:c>
      <x:c r="E433" s="33" t="str">
        <x:v>Rations de campagne.</x:v>
      </x:c>
      <x:c r="F433" s="36" t="n">
        <x:v>240000</x:v>
      </x:c>
      <x:c r="G433" s="38" t="n">
        <x:v>43410</x:v>
      </x:c>
      <x:c r="H433" s="38" t="n">
        <x:v>43410</x:v>
      </x:c>
      <x:c r="I433" s="40" t="n">
        <x:v>48</x:v>
      </x:c>
      <x:c r="J433" s="33" t="str">
        <x:v>Accord-cadre</x:v>
      </x:c>
      <x:c r="K433" s="33" t="str">
        <x:v>Appel d'offres restreint</x:v>
      </x:c>
      <x:c r="L433" s="33" t="str"/>
      <x:c r="M433" s="33" t="str">
        <x:v>(49) Maine-et-Loire</x:v>
      </x:c>
      <x:c r="N433" s="33" t="str">
        <x:v>Oui</x:v>
      </x:c>
      <x:c r="O433" s="33" t="str">
        <x:v>data.gouv.fr_aife</x:v>
      </x:c>
      <x:c r="P433" s="33" t="str">
        <x:v>20182018F4109100</x:v>
      </x:c>
    </x:row>
    <x:row r="434">
      <x:c r="A434" s="33" t="str">
        <x:v>2018150907831100</x:v>
      </x:c>
      <x:c r="B434" s="33" t="str">
        <x:v>MINARM / SSF / DSSF Brest - Direction du service de soutien de la flotte de Brest - DSSF Brest</x:v>
      </x:c>
      <x:c r="C434" s="33" t="str">
        <x:v>MECHANICAL SPARE PARTS FRANCE</x:v>
      </x:c>
      <x:c r="D434" s="33" t="str">
        <x:v>Approvisionnement de matières industrielles (acier plat) pour le SLM de TOULON</x:v>
      </x:c>
      <x:c r="E434" s="33" t="str">
        <x:v>Pièces pour navires de guerre.</x:v>
      </x:c>
      <x:c r="F434" s="36" t="n">
        <x:v>318</x:v>
      </x:c>
      <x:c r="G434" s="38" t="n">
        <x:v>43410</x:v>
      </x:c>
      <x:c r="H434" s="38" t="n">
        <x:v>43410</x:v>
      </x:c>
      <x:c r="I434" s="40" t="n">
        <x:v>1</x:v>
      </x:c>
      <x:c r="J434" s="33" t="str">
        <x:v>Marché</x:v>
      </x:c>
      <x:c r="K434" s="33" t="str">
        <x:v>Procédure adaptée</x:v>
      </x:c>
      <x:c r="L434" s="33" t="str">
        <x:v>Ferme</x:v>
      </x:c>
      <x:c r="M434" s="33" t="str">
        <x:v>(29) Finistère</x:v>
      </x:c>
      <x:c r="N434" s="33" t="str">
        <x:v>Oui</x:v>
      </x:c>
      <x:c r="O434" s="33" t="str">
        <x:v>data.gouv.fr_aife</x:v>
      </x:c>
      <x:c r="P434" s="33" t="str">
        <x:v>2018150907831100</x:v>
      </x:c>
    </x:row>
    <x:row r="435">
      <x:c r="A435" s="33" t="str">
        <x:v>2018150906925700</x:v>
      </x:c>
      <x:c r="B435" s="33" t="str">
        <x:v>MINARM / SSF / DSSF Brest - Direction du service de soutien de la flotte de Brest - DSSF Brest</x:v>
      </x:c>
      <x:c r="C435" s="33" t="str">
        <x:v>LOGNAV-CM</x:v>
      </x:c>
      <x:c r="D435" s="33" t="str">
        <x:v>Approvisionnement de sandows multi gaines en nylon de marques diverses ou équivalents au profit de la base navale de Djibouti</x:v>
      </x:c>
      <x:c r="E435" s="33" t="str">
        <x:v>Pièces de rechange pour coque et pièces mécaniques pour navires de guerre.</x:v>
      </x:c>
      <x:c r="F435" s="36" t="n">
        <x:v>684</x:v>
      </x:c>
      <x:c r="G435" s="38" t="n">
        <x:v>43410</x:v>
      </x:c>
      <x:c r="H435" s="38" t="n">
        <x:v>43410</x:v>
      </x:c>
      <x:c r="I435" s="40" t="n">
        <x:v>1</x:v>
      </x:c>
      <x:c r="J435" s="33" t="str">
        <x:v>Marché</x:v>
      </x:c>
      <x:c r="K435" s="33" t="str">
        <x:v>Procédure adaptée</x:v>
      </x:c>
      <x:c r="L435" s="33" t="str">
        <x:v>Ferme</x:v>
      </x:c>
      <x:c r="M435" s="33" t="str">
        <x:v>(29) Finistère</x:v>
      </x:c>
      <x:c r="N435" s="33" t="str">
        <x:v>Oui</x:v>
      </x:c>
      <x:c r="O435" s="33" t="str">
        <x:v>data.gouv.fr_aife</x:v>
      </x:c>
      <x:c r="P435" s="33" t="str">
        <x:v>2018150906925700</x:v>
      </x:c>
    </x:row>
    <x:row r="436">
      <x:c r="A436" s="33" t="str">
        <x:v>20182018S0017200</x:v>
      </x:c>
      <x:c r="B436" s="33" t="str">
        <x:v>MINARM / SSF / DSSF Toulon - Direction du service de soutien de la flotte de Toulon - DSSF Toulon</x:v>
      </x:c>
      <x:c r="C436" s="33" t="str">
        <x:v>MIRION TECHNOLOGIES (MGPI) SAS</x:v>
      </x:c>
      <x:c r="D436" s="33" t="str">
        <x:v>ACCORD CADRE n° M18TDOSI18 relatif au maintien en condition opérationnelle du système de dosimétrie - DCE V2</x:v>
      </x:c>
      <x:c r="E436" s="33" t="str">
        <x:v>Services de réparation et d'entretien d'armes et de systèmes d'arme.</x:v>
      </x:c>
      <x:c r="F436" s="36" t="n">
        <x:v>1986344</x:v>
      </x:c>
      <x:c r="G436" s="38" t="n">
        <x:v>43410</x:v>
      </x:c>
      <x:c r="H436" s="38" t="n">
        <x:v>43410</x:v>
      </x:c>
      <x:c r="I436" s="40" t="n">
        <x:v>60</x:v>
      </x:c>
      <x:c r="J436" s="33" t="str">
        <x:v>Accord-cadre</x:v>
      </x:c>
      <x:c r="K436" s="33" t="str"/>
      <x:c r="L436" s="33" t="str">
        <x:v>Ferme et actualisable</x:v>
      </x:c>
      <x:c r="M436" s="33" t="str">
        <x:v>(83) Var</x:v>
      </x:c>
      <x:c r="N436" s="33" t="str">
        <x:v>Oui</x:v>
      </x:c>
      <x:c r="O436" s="33" t="str">
        <x:v>data.gouv.fr_aife</x:v>
      </x:c>
      <x:c r="P436" s="33" t="str">
        <x:v>20182018S0017200</x:v>
      </x:c>
    </x:row>
    <x:row r="437">
      <x:c r="A437" s="33" t="str">
        <x:v>2018100013158200</x:v>
      </x:c>
      <x:c r="B437" s="33" t="str">
        <x:v>MINARM / SGA / SID / ESID BREST - Etablissement du service d'infrastructure de la défense de BREST - ESID Brest</x:v>
      </x:c>
      <x:c r="C437" s="33" t="str">
        <x:v>GROUPEMENT DES INSPECTEURS PEINTURE INDEPENDANTS</x:v>
      </x:c>
      <x:c r="D437" s="33" t="str">
        <x:v>Centre d'Instruction Naval de Brest (29) - Rénovation de la piscine DIXMUDE - Assistance technique dans les travaux de peinture de la charpente</x:v>
      </x:c>
      <x:c r="E437" s="33" t="str">
        <x:v>Services de contrôle technique.</x:v>
      </x:c>
      <x:c r="F437" s="36" t="n">
        <x:v>29202</x:v>
      </x:c>
      <x:c r="G437" s="38" t="n">
        <x:v>43410</x:v>
      </x:c>
      <x:c r="H437" s="38" t="n">
        <x:v>43410</x:v>
      </x:c>
      <x:c r="I437" s="40" t="n">
        <x:v>12</x:v>
      </x:c>
      <x:c r="J437" s="33" t="str">
        <x:v>Marché</x:v>
      </x:c>
      <x:c r="K437" s="33" t="str"/>
      <x:c r="L437" s="33" t="str">
        <x:v>Ferme</x:v>
      </x:c>
      <x:c r="M437" s="33" t="str">
        <x:v>(29) Finistère</x:v>
      </x:c>
      <x:c r="N437" s="33" t="str">
        <x:v>Oui</x:v>
      </x:c>
      <x:c r="O437" s="33" t="str">
        <x:v>data.gouv.fr_aife</x:v>
      </x:c>
      <x:c r="P437" s="33" t="str">
        <x:v>2018100013158200</x:v>
      </x:c>
    </x:row>
    <x:row r="438">
      <x:c r="A438" s="33" t="str">
        <x:v>2018100013148500</x:v>
      </x:c>
      <x:c r="B438" s="33" t="str">
        <x:v>MINARM / SGA / SID / ESID Metz - Etablissement du service d'infrastructure de la défense de Metz - ESID Metz</x:v>
      </x:c>
      <x:c r="C438" s="33" t="str">
        <x:v>CK Technology</x:v>
      </x:c>
      <x:c r="D438" s="33" t="str">
        <x:v>Consultation pour la passation du marché subséquent n° 18 USID06 052 ayant pour objet la « Fourniture et livraison de granulats synthétiques au profit de lEtablissement du service dinfrastructure de la défense de Metz (ESID) à VITRY EN ARTOIS (62</x:v>
      </x:c>
      <x:c r="E438" s="33" t="str">
        <x:v>Autres matériaux de construction divers.</x:v>
      </x:c>
      <x:c r="F438" s="36" t="n">
        <x:v>5297</x:v>
      </x:c>
      <x:c r="G438" s="38" t="n">
        <x:v>43410</x:v>
      </x:c>
      <x:c r="H438" s="38" t="n">
        <x:v>43410</x:v>
      </x:c>
      <x:c r="I438" s="40" t="n">
        <x:v>1</x:v>
      </x:c>
      <x:c r="J438" s="33" t="str">
        <x:v>Marché subséquent</x:v>
      </x:c>
      <x:c r="K438" s="33" t="str">
        <x:v>Appel d'offres ouvert</x:v>
      </x:c>
      <x:c r="L438" s="33" t="str">
        <x:v>Ferme</x:v>
      </x:c>
      <x:c r="M438" s="33" t="str">
        <x:v>(62) Pas-de-Calais</x:v>
      </x:c>
      <x:c r="N438" s="33" t="str">
        <x:v>Oui</x:v>
      </x:c>
      <x:c r="O438" s="33" t="str">
        <x:v>data.gouv.fr_aife</x:v>
      </x:c>
      <x:c r="P438" s="33" t="str">
        <x:v>2018100013148500</x:v>
      </x:c>
    </x:row>
    <x:row r="439">
      <x:c r="A439" s="33" t="str">
        <x:v>2018150902782900</x:v>
      </x:c>
      <x:c r="B439" s="33" t="str">
        <x:v>MINARM / SGA / SID / ESID Metz - Etablissement du service d'infrastructure de la défense de Metz - ESID Metz</x:v>
      </x:c>
      <x:c r="C439" s="33" t="str">
        <x:v>KIK AUTOMATISME</x:v>
      </x:c>
      <x:c r="D439" s="33" t="str">
        <x:v>Projet n° 18/USID03/066 - BDD MNM - REIMS (51) - 510454018W - DESCARTES (SCU) - Bâtiments 146 et 147 - Réalisation des prérequis infra et aménagement de locaux.</x:v>
      </x:c>
      <x:c r="E439" s="33" t="str">
        <x:v>Travaux de transformation de bâtiments.</x:v>
      </x:c>
      <x:c r="F439" s="36" t="n">
        <x:v>128353</x:v>
      </x:c>
      <x:c r="G439" s="38" t="n">
        <x:v>43410</x:v>
      </x:c>
      <x:c r="H439" s="38" t="n">
        <x:v>43410</x:v>
      </x:c>
      <x:c r="I439" s="40" t="n">
        <x:v>28</x:v>
      </x:c>
      <x:c r="J439" s="33" t="str"/>
      <x:c r="K439" s="33" t="str"/>
      <x:c r="L439" s="33" t="str"/>
      <x:c r="M439" s="33" t="str">
        <x:v>(57) Moselle</x:v>
      </x:c>
      <x:c r="N439" s="33" t="str">
        <x:v>Oui</x:v>
      </x:c>
      <x:c r="O439" s="33" t="str">
        <x:v>data.gouv.fr_aife</x:v>
      </x:c>
      <x:c r="P439" s="33" t="str">
        <x:v>2018150902782900</x:v>
      </x:c>
    </x:row>
    <x:row r="440">
      <x:c r="A440" s="33" t="str">
        <x:v>20182018F4107800</x:v>
      </x:c>
      <x:c r="B440" s="33" t="str">
        <x:v>MINARM / SCA / PFC RBT - Plate-forme commissariat Rambouillet</x:v>
      </x:c>
      <x:c r="C440" s="33" t="str">
        <x:v>NOUGAT CHABERT ET GUILLOT</x:v>
      </x:c>
      <x:c r="D440" s="33" t="str">
        <x:v>FOURNITURE DE BARRES ÉNERGÉTIQUES</x:v>
      </x:c>
      <x:c r="E440" s="33" t="str">
        <x:v>Rations de campagne.</x:v>
      </x:c>
      <x:c r="F440" s="36" t="n">
        <x:v>440000</x:v>
      </x:c>
      <x:c r="G440" s="38" t="n">
        <x:v>43410</x:v>
      </x:c>
      <x:c r="H440" s="38" t="n">
        <x:v>43410</x:v>
      </x:c>
      <x:c r="I440" s="40" t="n">
        <x:v>48</x:v>
      </x:c>
      <x:c r="J440" s="33" t="str">
        <x:v>Accord-cadre</x:v>
      </x:c>
      <x:c r="K440" s="33" t="str">
        <x:v>Appel d'offres restreint</x:v>
      </x:c>
      <x:c r="L440" s="33" t="str"/>
      <x:c r="M440" s="33" t="str">
        <x:v>(49) Maine-et-Loire</x:v>
      </x:c>
      <x:c r="N440" s="33" t="str">
        <x:v>Oui</x:v>
      </x:c>
      <x:c r="O440" s="33" t="str">
        <x:v>data.gouv.fr_aife</x:v>
      </x:c>
      <x:c r="P440" s="33" t="str">
        <x:v>20182018F4107800</x:v>
      </x:c>
    </x:row>
    <x:row r="441">
      <x:c r="A441" s="33" t="str">
        <x:v>2018100013144800</x:v>
      </x:c>
      <x:c r="B441" s="33" t="str">
        <x:v>MINARM / DGA / DO / S2A / PROD / DA-SE / DA-SE-IS - Site Istres</x:v>
      </x:c>
      <x:c r="C441" s="33" t="str">
        <x:v>SAF HELICOPTERES</x:v>
      </x:c>
      <x:c r="D441" s="33" t="str">
        <x:v>location d'un hélicoptère de type Puma ou Super Puma au profit de l'EPNER et prestations associées</x:v>
      </x:c>
      <x:c r="E441" s="33" t="str">
        <x:v>Hélicoptères.</x:v>
      </x:c>
      <x:c r="F441" s="36" t="n">
        <x:v>2306400</x:v>
      </x:c>
      <x:c r="G441" s="38" t="n">
        <x:v>43410</x:v>
      </x:c>
      <x:c r="H441" s="38" t="n">
        <x:v>43410</x:v>
      </x:c>
      <x:c r="I441" s="40" t="n">
        <x:v>48</x:v>
      </x:c>
      <x:c r="J441" s="33" t="str">
        <x:v>Marché</x:v>
      </x:c>
      <x:c r="K441" s="33" t="str"/>
      <x:c r="L441" s="33" t="str">
        <x:v>Révisable</x:v>
      </x:c>
      <x:c r="M441" s="33" t="str">
        <x:v>(13) Bouches-du-Rhône</x:v>
      </x:c>
      <x:c r="N441" s="33" t="str">
        <x:v>Oui</x:v>
      </x:c>
      <x:c r="O441" s="33" t="str">
        <x:v>data.gouv.fr_aife</x:v>
      </x:c>
      <x:c r="P441" s="33" t="str">
        <x:v>2018100013144800</x:v>
      </x:c>
    </x:row>
    <x:row r="442">
      <x:c r="A442" s="33" t="str">
        <x:v>2018100013160100</x:v>
      </x:c>
      <x:c r="B442" s="33" t="str">
        <x:v>MINARM / SSF / DSSF Toulon - Direction du service de soutien de la flotte de Toulon - DSSF Toulon</x:v>
      </x:c>
      <x:c r="C442" s="33" t="str">
        <x:v>MEGA SARL</x:v>
      </x:c>
      <x:c r="D442" s="33" t="str">
        <x:v>Accord-Cadre M16T20 010 relatif à l’approvisionnement de matériels électriques et électroniques pour le maintien en condition opérationnelle des Éléments de Force Maritime</x:v>
      </x:c>
      <x:c r="E442" s="33" t="str">
        <x:v>Pièces électroniques et électriques de rechange pour navires de guerre.</x:v>
      </x:c>
      <x:c r="F442" s="36" t="n">
        <x:v>8808</x:v>
      </x:c>
      <x:c r="G442" s="38" t="n">
        <x:v>43410</x:v>
      </x:c>
      <x:c r="H442" s="38" t="n">
        <x:v>43410</x:v>
      </x:c>
      <x:c r="I442" s="40" t="n">
        <x:v>12</x:v>
      </x:c>
      <x:c r="J442" s="33" t="str">
        <x:v>Marché subséquent</x:v>
      </x:c>
      <x:c r="K442" s="33" t="str">
        <x:v>Appel d'offres ouvert</x:v>
      </x:c>
      <x:c r="L442" s="33" t="str">
        <x:v>Ferme et actualisable</x:v>
      </x:c>
      <x:c r="M442" s="33" t="str">
        <x:v>(83) Var</x:v>
      </x:c>
      <x:c r="N442" s="33" t="str">
        <x:v>Oui</x:v>
      </x:c>
      <x:c r="O442" s="33" t="str">
        <x:v>data.gouv.fr_aife</x:v>
      </x:c>
      <x:c r="P442" s="33" t="str">
        <x:v>2018100013160100</x:v>
      </x:c>
    </x:row>
    <x:row r="443">
      <x:c r="A443" s="33" t="str">
        <x:v>2018100013160200</x:v>
      </x:c>
      <x:c r="B443" s="33" t="str">
        <x:v>MINARM / SSF / DSSF Toulon - Direction du service de soutien de la flotte de Toulon - DSSF Toulon</x:v>
      </x:c>
      <x:c r="C443" s="33" t="str">
        <x:v>SARL EUROFOURNISUD</x:v>
      </x:c>
      <x:c r="D443" s="33" t="str">
        <x:v>Accord-Cadre M16T20 010 relatif à l’approvisionnement de matériels électriques et électroniques pour le maintien en condition opérationnelle des Éléments de Force Maritime</x:v>
      </x:c>
      <x:c r="E443" s="33" t="str">
        <x:v>Pièces électroniques et électriques de rechange pour navires de guerre.</x:v>
      </x:c>
      <x:c r="F443" s="36" t="n">
        <x:v>5500</x:v>
      </x:c>
      <x:c r="G443" s="38" t="n">
        <x:v>43410</x:v>
      </x:c>
      <x:c r="H443" s="38" t="n">
        <x:v>43410</x:v>
      </x:c>
      <x:c r="I443" s="40" t="n">
        <x:v>12</x:v>
      </x:c>
      <x:c r="J443" s="33" t="str">
        <x:v>Marché subséquent</x:v>
      </x:c>
      <x:c r="K443" s="33" t="str">
        <x:v>Appel d'offres ouvert</x:v>
      </x:c>
      <x:c r="L443" s="33" t="str">
        <x:v>Ferme et actualisable</x:v>
      </x:c>
      <x:c r="M443" s="33" t="str">
        <x:v>(83) Var</x:v>
      </x:c>
      <x:c r="N443" s="33" t="str">
        <x:v>Oui</x:v>
      </x:c>
      <x:c r="O443" s="33" t="str">
        <x:v>data.gouv.fr_aife</x:v>
      </x:c>
      <x:c r="P443" s="33" t="str">
        <x:v>2018100013160200</x:v>
      </x:c>
    </x:row>
    <x:row r="444">
      <x:c r="A444" s="33" t="str">
        <x:v>2018100013157100</x:v>
      </x:c>
      <x:c r="B444" s="33" t="str">
        <x:v>MINARM / SSF / DSSF Toulon - Direction du service de soutien de la flotte de Toulon - DSSF Toulon</x:v>
      </x:c>
      <x:c r="C444" s="33" t="str">
        <x:v>SARL EUROFOURNISUD</x:v>
      </x:c>
      <x:c r="D444" s="33" t="str">
        <x:v>AC 2015M15T20 052 relatif à l’approvisionnement de matériels de filtration pour le maintien en condition opérationnelle (MCO) des Eléments de Force Maritime (EFM) et des Eléments de Force Armées (EFA). -</x:v>
      </x:c>
      <x:c r="E444" s="33" t="str">
        <x:v>Filtres à huile, filtres à essence et filtres à air.</x:v>
      </x:c>
      <x:c r="F444" s="36" t="n">
        <x:v>28765</x:v>
      </x:c>
      <x:c r="G444" s="38" t="n">
        <x:v>43411</x:v>
      </x:c>
      <x:c r="H444" s="38" t="n">
        <x:v>43411</x:v>
      </x:c>
      <x:c r="I444" s="40" t="n">
        <x:v>12</x:v>
      </x:c>
      <x:c r="J444" s="33" t="str">
        <x:v>Marché subséquent</x:v>
      </x:c>
      <x:c r="K444" s="33" t="str">
        <x:v>Appel d'offres ouvert</x:v>
      </x:c>
      <x:c r="L444" s="33" t="str">
        <x:v>Ferme et actualisable</x:v>
      </x:c>
      <x:c r="M444" s="33" t="str">
        <x:v>(83) Var</x:v>
      </x:c>
      <x:c r="N444" s="33" t="str">
        <x:v>Oui</x:v>
      </x:c>
      <x:c r="O444" s="33" t="str">
        <x:v>data.gouv.fr_aife</x:v>
      </x:c>
      <x:c r="P444" s="33" t="str">
        <x:v>2018100013157100</x:v>
      </x:c>
    </x:row>
    <x:row r="445">
      <x:c r="A445" s="33" t="str">
        <x:v>2018100013158400</x:v>
      </x:c>
      <x:c r="B445" s="33" t="str">
        <x:v>MINARM / SSF / DSSF Toulon - Direction du service de soutien de la flotte de Toulon - DSSF Toulon</x:v>
      </x:c>
      <x:c r="C445" s="33" t="str">
        <x:v>LOGNAV-CM</x:v>
      </x:c>
      <x:c r="D445" s="33" t="str">
        <x:v>Accord-Cadre M16T20 010 relatif à l’approvisionnement de matériels électriques et électroniques pour le maintien en condition opérationnelle des Éléments de Force Maritime</x:v>
      </x:c>
      <x:c r="E445" s="33" t="str">
        <x:v>Pièces électroniques et électriques de rechange pour navires de guerre.</x:v>
      </x:c>
      <x:c r="F445" s="36" t="n">
        <x:v>19510</x:v>
      </x:c>
      <x:c r="G445" s="38" t="n">
        <x:v>43411</x:v>
      </x:c>
      <x:c r="H445" s="38" t="n">
        <x:v>43411</x:v>
      </x:c>
      <x:c r="I445" s="40" t="n">
        <x:v>12</x:v>
      </x:c>
      <x:c r="J445" s="33" t="str">
        <x:v>Marché subséquent</x:v>
      </x:c>
      <x:c r="K445" s="33" t="str">
        <x:v>Appel d'offres ouvert</x:v>
      </x:c>
      <x:c r="L445" s="33" t="str">
        <x:v>Révisable</x:v>
      </x:c>
      <x:c r="M445" s="33" t="str">
        <x:v>(83) Var</x:v>
      </x:c>
      <x:c r="N445" s="33" t="str">
        <x:v>Oui</x:v>
      </x:c>
      <x:c r="O445" s="33" t="str">
        <x:v>data.gouv.fr_aife</x:v>
      </x:c>
      <x:c r="P445" s="33" t="str">
        <x:v>2018100013158400</x:v>
      </x:c>
    </x:row>
    <x:row r="446">
      <x:c r="A446" s="33" t="str">
        <x:v>2018150905794900</x:v>
      </x:c>
      <x:c r="B446" s="33" t="str">
        <x:v>MINARM / SGA / SID / DID FdF - Direction d'infrastructure de la défense de Fort de France - DID Fort de France</x:v>
      </x:c>
      <x:c r="C446" s="33" t="str">
        <x:v>CYPRES RENOVATION BATIMENTS PUBLICS</x:v>
      </x:c>
      <x:c r="D446" s="33" t="str">
        <x:v>Projet n°18036 - Le Lamentin - Petit Manoir - Appartements 23-31-32-33-44-51-62 - Remise en peinture intérieure.</x:v>
      </x:c>
      <x:c r="E446" s="33" t="str">
        <x:v>Travaux de peinture.</x:v>
      </x:c>
      <x:c r="F446" s="36" t="n">
        <x:v>16640</x:v>
      </x:c>
      <x:c r="G446" s="38" t="n">
        <x:v>43411</x:v>
      </x:c>
      <x:c r="H446" s="38" t="n">
        <x:v>43411</x:v>
      </x:c>
      <x:c r="I446" s="40" t="n">
        <x:v>2</x:v>
      </x:c>
      <x:c r="J446" s="33" t="str">
        <x:v>Marché subséquent</x:v>
      </x:c>
      <x:c r="K446" s="33" t="str">
        <x:v>Appel d'offres ouvert</x:v>
      </x:c>
      <x:c r="L446" s="33" t="str">
        <x:v>Ferme et actualisable</x:v>
      </x:c>
      <x:c r="M446" s="33" t="str">
        <x:v>(972) Martinique</x:v>
      </x:c>
      <x:c r="N446" s="33" t="str">
        <x:v>Oui</x:v>
      </x:c>
      <x:c r="O446" s="33" t="str">
        <x:v>data.gouv.fr_aife</x:v>
      </x:c>
      <x:c r="P446" s="33" t="str">
        <x:v>2018150905794900</x:v>
      </x:c>
    </x:row>
    <x:row r="447">
      <x:c r="A447" s="33" t="str">
        <x:v>2018100013098200</x:v>
      </x:c>
      <x:c r="B447" s="33" t="str">
        <x:v>MINARM / DIRISI / DIRISI Brest - Direction interarmées des réseaux d'infrastructure et des systèmes d'information - Brest</x:v>
      </x:c>
      <x:c r="C447" s="33" t="str">
        <x:v>R I C</x:v>
      </x:c>
      <x:c r="D447" s="33" t="str">
        <x:v>Fourniture d'un ensemble injecteur spécifique pour SBSE et chromatographe en phase gazeuse couplé à un spectomètre de masse pour le LASEM de Toulon</x:v>
      </x:c>
      <x:c r="E447" s="33" t="str">
        <x:v>Appareils de détection et d'analyse.</x:v>
      </x:c>
      <x:c r="F447" s="36" t="n">
        <x:v>135000</x:v>
      </x:c>
      <x:c r="G447" s="38" t="n">
        <x:v>43411</x:v>
      </x:c>
      <x:c r="H447" s="38" t="n">
        <x:v>43411</x:v>
      </x:c>
      <x:c r="I447" s="40" t="n">
        <x:v>5</x:v>
      </x:c>
      <x:c r="J447" s="33" t="str"/>
      <x:c r="K447" s="33" t="str"/>
      <x:c r="L447" s="33" t="str"/>
      <x:c r="M447" s="33" t="str">
        <x:v>(29) Finistère</x:v>
      </x:c>
      <x:c r="N447" s="33" t="str">
        <x:v>Oui</x:v>
      </x:c>
      <x:c r="O447" s="33" t="str">
        <x:v>data.gouv.fr_aife</x:v>
      </x:c>
      <x:c r="P447" s="33" t="str">
        <x:v>2018100013098200</x:v>
      </x:c>
    </x:row>
    <x:row r="448">
      <x:c r="A448" s="33" t="str">
        <x:v>2018100013143000</x:v>
      </x:c>
      <x:c r="B448" s="33" t="str">
        <x:v>MINARM / SGA / SPAC - Service Parisien de Soutien de l'Administration Centrale - SPAC</x:v>
      </x:c>
      <x:c r="C448" s="33" t="str">
        <x:v>ASSOCIATION FRANCAISE DE NORMALISATION</x:v>
      </x:c>
      <x:c r="D448" s="33" t="str">
        <x:v>Participation annuelle des experts du ministère des armées aux commissions de normalisation de l’AFNOR pour l’année 2019</x:v>
      </x:c>
      <x:c r="E448" s="33" t="str">
        <x:v>Services de normalisation et de classification des contenus et des données.</x:v>
      </x:c>
      <x:c r="F448" s="36" t="n">
        <x:v>131992</x:v>
      </x:c>
      <x:c r="G448" s="38" t="n">
        <x:v>43411</x:v>
      </x:c>
      <x:c r="H448" s="38" t="n">
        <x:v>43411</x:v>
      </x:c>
      <x:c r="I448" s="40" t="n">
        <x:v>12</x:v>
      </x:c>
      <x:c r="J448" s="33" t="str">
        <x:v>Marché</x:v>
      </x:c>
      <x:c r="K448" s="33" t="str"/>
      <x:c r="L448" s="33" t="str">
        <x:v>Ferme et actualisable</x:v>
      </x:c>
      <x:c r="M448" s="33" t="str">
        <x:v>(75) Paris</x:v>
      </x:c>
      <x:c r="N448" s="33" t="str">
        <x:v>Oui</x:v>
      </x:c>
      <x:c r="O448" s="33" t="str">
        <x:v>data.gouv.fr_aife</x:v>
      </x:c>
      <x:c r="P448" s="33" t="str">
        <x:v>2018100013143000</x:v>
      </x:c>
    </x:row>
    <x:row r="449">
      <x:c r="A449" s="33" t="str">
        <x:v>2018100013120200</x:v>
      </x:c>
      <x:c r="B449" s="33" t="str">
        <x:v>MINARM / SSA / DAPSA - Direction des Approvisionnements en produits de santé des armées</x:v>
      </x:c>
      <x:c r="C449" s="33" t="str">
        <x:v>PENTAX FRANCE LIFE CARE</x:v>
      </x:c>
      <x:c r="D449" s="33" t="str">
        <x:v>Fourniture d’endoscope (colonoscope) HD au profit de l’HIA Clermont Tonnerre</x:v>
      </x:c>
      <x:c r="E449" s="33" t="str">
        <x:v>Endoscopes.</x:v>
      </x:c>
      <x:c r="F449" s="36" t="n">
        <x:v>36482</x:v>
      </x:c>
      <x:c r="G449" s="38" t="n">
        <x:v>43411</x:v>
      </x:c>
      <x:c r="H449" s="38" t="n">
        <x:v>43411</x:v>
      </x:c>
      <x:c r="I449" s="40" t="n">
        <x:v>6</x:v>
      </x:c>
      <x:c r="J449" s="33" t="str">
        <x:v>Accord-cadre</x:v>
      </x:c>
      <x:c r="K449" s="33" t="str"/>
      <x:c r="L449" s="33" t="str">
        <x:v>Ferme</x:v>
      </x:c>
      <x:c r="M449" s="33" t="str">
        <x:v>(45) Loiret</x:v>
      </x:c>
      <x:c r="N449" s="33" t="str">
        <x:v>Oui</x:v>
      </x:c>
      <x:c r="O449" s="33" t="str">
        <x:v>data.gouv.fr_aife</x:v>
      </x:c>
      <x:c r="P449" s="33" t="str">
        <x:v>2018100013120200</x:v>
      </x:c>
    </x:row>
    <x:row r="450">
      <x:c r="A450" s="33" t="str">
        <x:v>2018130013914000</x:v>
      </x:c>
      <x:c r="B450" s="33" t="str">
        <x:v>MINARM / SGA / SID / ESID Bordeaux - Etablissement du service d'infrastructure de la défense de Bordeaux - ESID Bordeaux</x:v>
      </x:c>
      <x:c r="C450" s="33" t="str">
        <x:v>OTIS</x:v>
      </x:c>
      <x:c r="D450" s="33" t="str">
        <x:v>Accord-cadre à bons de commande relatif à la maintenance des portails, des portes, des rideaux et barrières de lensemble des sites de la base de défense de MONTAUBAN-AGEN.</x:v>
      </x:c>
      <x:c r="E450" s="33" t="str">
        <x:v>Portails.</x:v>
      </x:c>
      <x:c r="F450" s="36" t="n">
        <x:v>500000</x:v>
      </x:c>
      <x:c r="G450" s="38" t="n">
        <x:v>43411</x:v>
      </x:c>
      <x:c r="H450" s="38" t="n">
        <x:v>43411</x:v>
      </x:c>
      <x:c r="I450" s="40" t="n">
        <x:v>48</x:v>
      </x:c>
      <x:c r="J450" s="33" t="str">
        <x:v>Accord-cadre</x:v>
      </x:c>
      <x:c r="K450" s="33" t="str">
        <x:v>Appel d'offres ouvert</x:v>
      </x:c>
      <x:c r="L450" s="33" t="str">
        <x:v>Révisable</x:v>
      </x:c>
      <x:c r="M450" s="33" t="str">
        <x:v>(47) Lot-et-Garonne</x:v>
      </x:c>
      <x:c r="N450" s="33" t="str">
        <x:v>Oui</x:v>
      </x:c>
      <x:c r="O450" s="33" t="str">
        <x:v>data.gouv.fr_aife</x:v>
      </x:c>
      <x:c r="P450" s="33" t="str">
        <x:v>2018130013914000</x:v>
      </x:c>
    </x:row>
    <x:row r="451">
      <x:c r="A451" s="33" t="str">
        <x:v>2018130013921100</x:v>
      </x:c>
      <x:c r="B451" s="33" t="str">
        <x:v>MINARM / DIRISI / DIRISI Toulon - Direction Interarmées des Réseaux d'Infrastructure et des Systèmes d' Information - Toulon</x:v>
      </x:c>
      <x:c r="C451" s="33" t="str">
        <x:v>INEO DEFENSE</x:v>
      </x:c>
      <x:c r="D451" s="33" t="str">
        <x:v>MCO, MCS,TMA et prestations associées du système de Pilotage Automatisé des Systèmes de Communication Avec Les ambassadEs - POSTES 1 - 2 - 3 (exécution par bons de commande)</x:v>
      </x:c>
      <x:c r="E451" s="33" t="str">
        <x:v>Services de maintenance des systèmes et services d'assistance.</x:v>
      </x:c>
      <x:c r="F451" s="36" t="n">
        <x:v>2583000</x:v>
      </x:c>
      <x:c r="G451" s="38" t="n">
        <x:v>43411</x:v>
      </x:c>
      <x:c r="H451" s="38" t="n">
        <x:v>43411</x:v>
      </x:c>
      <x:c r="I451" s="40" t="n">
        <x:v>48</x:v>
      </x:c>
      <x:c r="J451" s="33" t="str">
        <x:v>Marché subséquent</x:v>
      </x:c>
      <x:c r="K451" s="33" t="str"/>
      <x:c r="L451" s="33" t="str">
        <x:v>Révisable</x:v>
      </x:c>
      <x:c r="M451" s="33" t="str">
        <x:v>(27) Eure</x:v>
      </x:c>
      <x:c r="N451" s="33" t="str">
        <x:v>Oui</x:v>
      </x:c>
      <x:c r="O451" s="33" t="str">
        <x:v>data.gouv.fr_aife</x:v>
      </x:c>
      <x:c r="P451" s="33" t="str">
        <x:v>2018130013921100</x:v>
      </x:c>
    </x:row>
    <x:row r="452">
      <x:c r="A452" s="33" t="str">
        <x:v>2018100013109000</x:v>
      </x:c>
      <x:c r="B452" s="33" t="str">
        <x:v>MINARM / DGA / DO / S2A / PROD / DA-BA - Division achats - Toulouse/Balma</x:v>
      </x:c>
      <x:c r="C452" s="33" t="str">
        <x:v>GUARATO TUYAUTERIE SERVICE</x:v>
      </x:c>
      <x:c r="D452" s="33" t="str">
        <x:v>Alimentation en air comprime BP de MEGA du bâtiment 59</x:v>
      </x:c>
      <x:c r="E452" s="33" t="str">
        <x:v>Tuyauterie.</x:v>
      </x:c>
      <x:c r="F452" s="36" t="n">
        <x:v>9416</x:v>
      </x:c>
      <x:c r="G452" s="38" t="n">
        <x:v>43411</x:v>
      </x:c>
      <x:c r="H452" s="38" t="n">
        <x:v>43411</x:v>
      </x:c>
      <x:c r="I452" s="40" t="n">
        <x:v>2</x:v>
      </x:c>
      <x:c r="J452" s="33" t="str"/>
      <x:c r="K452" s="33" t="str"/>
      <x:c r="L452" s="33" t="str"/>
      <x:c r="M452" s="33" t="str">
        <x:v>(31) Haute-Garonne</x:v>
      </x:c>
      <x:c r="N452" s="33" t="str">
        <x:v>Oui</x:v>
      </x:c>
      <x:c r="O452" s="33" t="str">
        <x:v>data.gouv.fr_aife</x:v>
      </x:c>
      <x:c r="P452" s="33" t="str">
        <x:v>2018100013109000</x:v>
      </x:c>
    </x:row>
    <x:row r="453">
      <x:c r="A453" s="33" t="str">
        <x:v>20182018S8007500</x:v>
      </x:c>
      <x:c r="B453" s="33" t="str">
        <x:v>MINARM / SIAé - Service industriel de l'aéronautique</x:v>
      </x:c>
      <x:c r="C453" s="33" t="str">
        <x:v>FESTO</x:v>
      </x:c>
      <x:c r="D453" s="33" t="str">
        <x:v>17121 - Formations destinées à la montée en compétences dans le domaine de la supply chain selon les référentiels APICS et DDI ainsi que leurs déclinaisons en langue française au profit du service industriel de l'aéronautique (SIAé) et du Minist</x:v>
      </x:c>
      <x:c r="E453" s="33" t="str">
        <x:v>Services de formation professionnelle.</x:v>
      </x:c>
      <x:c r="F453" s="36" t="n">
        <x:v>900000</x:v>
      </x:c>
      <x:c r="G453" s="38" t="n">
        <x:v>43411</x:v>
      </x:c>
      <x:c r="H453" s="38" t="n">
        <x:v>43411</x:v>
      </x:c>
      <x:c r="I453" s="40" t="n">
        <x:v>72</x:v>
      </x:c>
      <x:c r="J453" s="33" t="str">
        <x:v>Accord-cadre</x:v>
      </x:c>
      <x:c r="K453" s="33" t="str"/>
      <x:c r="L453" s="33" t="str">
        <x:v>Révisable</x:v>
      </x:c>
      <x:c r="M453" s="33" t="str">
        <x:v>(33) Gironde</x:v>
      </x:c>
      <x:c r="N453" s="33" t="str">
        <x:v>Oui</x:v>
      </x:c>
      <x:c r="O453" s="33" t="str">
        <x:v>data.gouv.fr_aife</x:v>
      </x:c>
      <x:c r="P453" s="33" t="str">
        <x:v>20182018S8007500</x:v>
      </x:c>
    </x:row>
    <x:row r="454">
      <x:c r="A454" s="33" t="str">
        <x:v>2018100013163200</x:v>
      </x:c>
      <x:c r="B454" s="33" t="str">
        <x:v>MINARM / SSF / DSSF Toulon - Direction du service de soutien de la flotte de Toulon - DSSF Toulon</x:v>
      </x:c>
      <x:c r="C454" s="33" t="str">
        <x:v>LOGNAV-CM</x:v>
      </x:c>
      <x:c r="D454" s="33" t="str">
        <x:v>AC M15T20 025 relatif à la fourniture de matériels de robinetterie tels que vannes, soupapes, clapets, robinets, détendeurs, valves, raccords, coudes, tubes, tuyaux, colliers, brides, manchons, flexibles et accessoires associés pour les besoins néces</x:v>
      </x:c>
      <x:c r="E454" s="33" t="str">
        <x:v>Pièces pour navires de guerre.</x:v>
      </x:c>
      <x:c r="F454" s="36" t="n">
        <x:v>16252</x:v>
      </x:c>
      <x:c r="G454" s="38" t="n">
        <x:v>43411</x:v>
      </x:c>
      <x:c r="H454" s="38" t="n">
        <x:v>43411</x:v>
      </x:c>
      <x:c r="I454" s="40" t="n">
        <x:v>7</x:v>
      </x:c>
      <x:c r="J454" s="33" t="str">
        <x:v>Marché subséquent</x:v>
      </x:c>
      <x:c r="K454" s="33" t="str">
        <x:v>Appel d'offres ouvert</x:v>
      </x:c>
      <x:c r="L454" s="33" t="str">
        <x:v>Ferme et actualisable</x:v>
      </x:c>
      <x:c r="M454" s="33" t="str">
        <x:v>(83) Var</x:v>
      </x:c>
      <x:c r="N454" s="33" t="str">
        <x:v>Oui</x:v>
      </x:c>
      <x:c r="O454" s="33" t="str">
        <x:v>data.gouv.fr_aife</x:v>
      </x:c>
      <x:c r="P454" s="33" t="str">
        <x:v>2018100013163200</x:v>
      </x:c>
    </x:row>
    <x:row r="455">
      <x:c r="A455" s="33" t="str">
        <x:v>2018120005873000</x:v>
      </x:c>
      <x:c r="B455" s="33" t="str">
        <x:v>MINARM / SSA / DAPSA - Direction des Approvisionnements en produits de santé des armées</x:v>
      </x:c>
      <x:c r="C455" s="33" t="str">
        <x:v>ORGENTEC</x:v>
      </x:c>
      <x:c r="D455" s="33" t="str">
        <x:v>Location-maintenance d'un parc d'automates pour le diagnostic des maladies auto-immunes et infectieuses modèle ALEGRIA de marque ORGENTEC et fourniture des réactifs et consommables associés au profit des hôpitaux d’instruction des armées</x:v>
      </x:c>
      <x:c r="E455" s="33" t="str">
        <x:v>Services de réparation et d'entretien de matériel médical.</x:v>
      </x:c>
      <x:c r="F455" s="36" t="n">
        <x:v>82000</x:v>
      </x:c>
      <x:c r="G455" s="38" t="n">
        <x:v>43411</x:v>
      </x:c>
      <x:c r="H455" s="38" t="n">
        <x:v>43411</x:v>
      </x:c>
      <x:c r="I455" s="40" t="n">
        <x:v>24</x:v>
      </x:c>
      <x:c r="J455" s="33" t="str">
        <x:v>Marché</x:v>
      </x:c>
      <x:c r="K455" s="33" t="str"/>
      <x:c r="L455" s="33" t="str">
        <x:v>Ferme</x:v>
      </x:c>
      <x:c r="M455" s="33" t="str">
        <x:v>(94) Val-de-Marne</x:v>
      </x:c>
      <x:c r="N455" s="33" t="str">
        <x:v>Oui</x:v>
      </x:c>
      <x:c r="O455" s="33" t="str">
        <x:v>data.gouv.fr_aife</x:v>
      </x:c>
      <x:c r="P455" s="33" t="str">
        <x:v>2018120005873000</x:v>
      </x:c>
    </x:row>
    <x:row r="456">
      <x:c r="A456" s="33" t="str">
        <x:v>2018100013177400</x:v>
      </x:c>
      <x:c r="B456" s="33" t="str">
        <x:v>MINARM / SGA / SID / ESID Bordeaux - Etablissement du service d'infrastructure de la défense de Bordeaux - ESID Bordeaux</x:v>
      </x:c>
      <x:c r="C456" s="33" t="str">
        <x:v>ELYFEC</x:v>
      </x:c>
      <x:c r="D456" s="33" t="str">
        <x:v>Chateaubernard (16) - Base Aérienne 709 - Construction d'un bâtiment formations au standard escadre de l'aviation de chasse FOMEDEC - Marché relatif à une mission de coordination de sécurité et de protection de la santé des travailleurs sur le chantier</x:v>
      </x:c>
      <x:c r="E456" s="33" t="str">
        <x:v>Services de conseil en matière de santé et de sécurité.</x:v>
      </x:c>
      <x:c r="F456" s="36" t="n">
        <x:v>13085</x:v>
      </x:c>
      <x:c r="G456" s="38" t="n">
        <x:v>43412</x:v>
      </x:c>
      <x:c r="H456" s="38" t="n">
        <x:v>43412</x:v>
      </x:c>
      <x:c r="I456" s="40" t="n">
        <x:v>49</x:v>
      </x:c>
      <x:c r="J456" s="33" t="str">
        <x:v>Marché</x:v>
      </x:c>
      <x:c r="K456" s="33" t="str">
        <x:v>Procédure adaptée</x:v>
      </x:c>
      <x:c r="L456" s="33" t="str">
        <x:v>Révisable</x:v>
      </x:c>
      <x:c r="M456" s="33" t="str">
        <x:v>(16) Charente</x:v>
      </x:c>
      <x:c r="N456" s="33" t="str">
        <x:v>Oui</x:v>
      </x:c>
      <x:c r="O456" s="33" t="str">
        <x:v>data.gouv.fr_aife</x:v>
      </x:c>
      <x:c r="P456" s="33" t="str">
        <x:v>2018100013177400</x:v>
      </x:c>
    </x:row>
    <x:row r="457">
      <x:c r="A457" s="33" t="str">
        <x:v>20182018F4107300</x:v>
      </x:c>
      <x:c r="B457" s="33" t="str">
        <x:v>MINARM / SIAé / AIA Ambérieu - Atelier Industriel de l'Aéronautique d'Ambérieu en Bugey - AIA Ambérieu</x:v>
      </x:c>
      <x:c r="C457" s="33" t="str">
        <x:v>MAINCO</x:v>
      </x:c>
      <x:c r="D457" s="33" t="str">
        <x:v>LOT 01 MEC 26 - 15042 - Accord cadre pour la fourniture de rechanges non spécifiques à usage aéronautique pour les ateliers industriels de l'aéronautique d'Ambérieu en Bugey, de Bordeaux, de Bretagne, de Clermont-Ferrand et de Cuers Pierrefeu</x:v>
      </x:c>
      <x:c r="E457" s="33" t="str">
        <x:v>Matériel électrique.</x:v>
      </x:c>
      <x:c r="F457" s="36" t="n">
        <x:v>1755</x:v>
      </x:c>
      <x:c r="G457" s="38" t="n">
        <x:v>43412</x:v>
      </x:c>
      <x:c r="H457" s="38" t="n">
        <x:v>43412</x:v>
      </x:c>
      <x:c r="I457" s="40" t="n">
        <x:v>2</x:v>
      </x:c>
      <x:c r="J457" s="33" t="str">
        <x:v>Marché subséquent</x:v>
      </x:c>
      <x:c r="K457" s="33" t="str"/>
      <x:c r="L457" s="33" t="str">
        <x:v>Ferme</x:v>
      </x:c>
      <x:c r="M457" s="33" t="str">
        <x:v>(01) Ain</x:v>
      </x:c>
      <x:c r="N457" s="33" t="str">
        <x:v>Oui</x:v>
      </x:c>
      <x:c r="O457" s="33" t="str">
        <x:v>data.gouv.fr_aife</x:v>
      </x:c>
      <x:c r="P457" s="33" t="str">
        <x:v>20182018F4107300</x:v>
      </x:c>
    </x:row>
    <x:row r="458">
      <x:c r="A458" s="33" t="str">
        <x:v>2018100013098600</x:v>
      </x:c>
      <x:c r="B458" s="33" t="str">
        <x:v>MINARM / SSF / DSSF Toulon - Direction du service de soutien de la flotte de Toulon - DSSF Toulon</x:v>
      </x:c>
      <x:c r="C458" s="33" t="str">
        <x:v>MEGA SARL</x:v>
      </x:c>
      <x:c r="D458" s="33" t="str">
        <x:v>Accord cadre N° 2015M15T20052 relatif à l’approvisionnement de matériels de filtration pour le maintien en condition opérationnelle (MCO) des Eléments de Force Maritime (EFM) et des Eléments de Force Armées (EFA). - Marché subséquent : N° K18T2005239 re...</x:v>
      </x:c>
      <x:c r="E458" s="33" t="str">
        <x:v>Filtres à huile, filtres à essence et filtres à air.</x:v>
      </x:c>
      <x:c r="F458" s="36" t="n">
        <x:v>26640</x:v>
      </x:c>
      <x:c r="G458" s="38" t="n">
        <x:v>43412</x:v>
      </x:c>
      <x:c r="H458" s="38" t="n">
        <x:v>43412</x:v>
      </x:c>
      <x:c r="I458" s="40" t="n">
        <x:v>12</x:v>
      </x:c>
      <x:c r="J458" s="33" t="str"/>
      <x:c r="K458" s="33" t="str"/>
      <x:c r="L458" s="33" t="str"/>
      <x:c r="M458" s="33" t="str">
        <x:v>(83) Var</x:v>
      </x:c>
      <x:c r="N458" s="33" t="str">
        <x:v>Oui</x:v>
      </x:c>
      <x:c r="O458" s="33" t="str">
        <x:v>data.gouv.fr_aife</x:v>
      </x:c>
      <x:c r="P458" s="33" t="str">
        <x:v>2018100013098600</x:v>
      </x:c>
    </x:row>
    <x:row r="459">
      <x:c r="A459" s="33" t="str">
        <x:v>2018100013168300</x:v>
      </x:c>
      <x:c r="B459" s="33" t="str">
        <x:v>MINARM / SSF / DSSF Brest - Direction du service de soutien de la flotte de Brest - DSSF Brest</x:v>
      </x:c>
      <x:c r="C459" s="33" t="str">
        <x:v>LOGNAV-CM</x:v>
      </x:c>
      <x:c r="D459" s="33" t="str">
        <x:v>Fourniture d'appareils de mesure et accessoires associés de marques diverses ou équivalentes destinés à équiper les bâtiments et unités à terre de la Marine Nationale.</x:v>
      </x:c>
      <x:c r="E459" s="33" t="str">
        <x:v>Matériel de mesure et de contrôle.</x:v>
      </x:c>
      <x:c r="F459" s="36" t="n">
        <x:v>695</x:v>
      </x:c>
      <x:c r="G459" s="38" t="n">
        <x:v>43412</x:v>
      </x:c>
      <x:c r="H459" s="38" t="n">
        <x:v>43412</x:v>
      </x:c>
      <x:c r="I459" s="40" t="n">
        <x:v>1</x:v>
      </x:c>
      <x:c r="J459" s="33" t="str">
        <x:v>Marché subséquent</x:v>
      </x:c>
      <x:c r="K459" s="33" t="str"/>
      <x:c r="L459" s="33" t="str">
        <x:v>Ferme</x:v>
      </x:c>
      <x:c r="M459" s="33" t="str">
        <x:v>(29) Finistère</x:v>
      </x:c>
      <x:c r="N459" s="33" t="str">
        <x:v>Oui</x:v>
      </x:c>
      <x:c r="O459" s="33" t="str">
        <x:v>data.gouv.fr_aife</x:v>
      </x:c>
      <x:c r="P459" s="33" t="str">
        <x:v>2018100013168300</x:v>
      </x:c>
    </x:row>
    <x:row r="460">
      <x:c r="A460" s="33" t="str">
        <x:v>2018150908705200</x:v>
      </x:c>
      <x:c r="B460" s="33" t="str">
        <x:v>MINARM / SGA / SID / ESID Lyon - Etablissement du service d'infrastructure de la défense de Lyon - ESID Lyon</x:v>
      </x:c>
      <x:c r="C460" s="33" t="str">
        <x:v>EIFFAGE ROUTE GRAND SUD</x:v>
      </x:c>
      <x:c r="D460" s="33" t="str">
        <x:v>LE CANNET DES MAURES (83)-EALAT-BEGL-Bâtiment 086-Purge profonde de la butte de tir</x:v>
      </x:c>
      <x:c r="E460" s="33" t="str">
        <x:v>Travaux de génie militaire.</x:v>
      </x:c>
      <x:c r="F460" s="36" t="n">
        <x:v>30964</x:v>
      </x:c>
      <x:c r="G460" s="38" t="n">
        <x:v>43412</x:v>
      </x:c>
      <x:c r="H460" s="38" t="n">
        <x:v>43412</x:v>
      </x:c>
      <x:c r="I460" s="40" t="n">
        <x:v>3</x:v>
      </x:c>
      <x:c r="J460" s="33" t="str">
        <x:v>Marché</x:v>
      </x:c>
      <x:c r="K460" s="33" t="str">
        <x:v>Procédure adaptée</x:v>
      </x:c>
      <x:c r="L460" s="33" t="str">
        <x:v>Ferme et actualisable</x:v>
      </x:c>
      <x:c r="M460" s="33" t="str">
        <x:v>(83) Var</x:v>
      </x:c>
      <x:c r="N460" s="33" t="str">
        <x:v>Oui</x:v>
      </x:c>
      <x:c r="O460" s="33" t="str">
        <x:v>data.gouv.fr_aife</x:v>
      </x:c>
      <x:c r="P460" s="33" t="str">
        <x:v>2018150908705200</x:v>
      </x:c>
    </x:row>
    <x:row r="461">
      <x:c r="A461" s="33" t="str">
        <x:v>2018120005860000</x:v>
      </x:c>
      <x:c r="B461" s="33" t="str">
        <x:v>MINARM / SGA / SPAC - Service Parisien de Soutien de l'Administration Centrale - SPAC</x:v>
      </x:c>
      <x:c r="C461" s="33" t="str">
        <x:v>ALTIDEM</x:v>
      </x:c>
      <x:c r="D461" s="33" t="str">
        <x:v>Prestation d’appui à la conduite de la démarche de double labellisation « Label Diversité » et « Label Egalité professionnelle entre les femmes et les hommes » au profit du ministère des armées</x:v>
      </x:c>
      <x:c r="E461" s="33" t="str">
        <x:v>Services de certification.</x:v>
      </x:c>
      <x:c r="F461" s="36" t="n">
        <x:v>39900</x:v>
      </x:c>
      <x:c r="G461" s="38" t="n">
        <x:v>43412</x:v>
      </x:c>
      <x:c r="H461" s="38" t="n">
        <x:v>43412</x:v>
      </x:c>
      <x:c r="I461" s="40" t="n">
        <x:v>48</x:v>
      </x:c>
      <x:c r="J461" s="33" t="str">
        <x:v>Marché</x:v>
      </x:c>
      <x:c r="K461" s="33" t="str">
        <x:v>Appel d'offres ouvert</x:v>
      </x:c>
      <x:c r="L461" s="33" t="str">
        <x:v>Révisable</x:v>
      </x:c>
      <x:c r="M461" s="33" t="str">
        <x:v>(75) Paris</x:v>
      </x:c>
      <x:c r="N461" s="33" t="str">
        <x:v>Oui</x:v>
      </x:c>
      <x:c r="O461" s="33" t="str">
        <x:v>data.gouv.fr_aife</x:v>
      </x:c>
      <x:c r="P461" s="33" t="str">
        <x:v>2018120005860000</x:v>
      </x:c>
    </x:row>
    <x:row r="462">
      <x:c r="A462" s="33" t="str">
        <x:v>20182018T0007500</x:v>
      </x:c>
      <x:c r="B462" s="33" t="str">
        <x:v>MINARM / ESTM / EPA / ONAC - Office National des Anciens Combattants et victimes de guerre</x:v>
      </x:c>
      <x:c r="C462" s="33" t="str">
        <x:v>HIE PAYSAGE</x:v>
      </x:c>
      <x:c r="D462" s="33" t="str">
        <x:v>Beuvraignes (80) - Rénovation de la nécropole nationale - Aménagements paysagers</x:v>
      </x:c>
      <x:c r="E462" s="33" t="str">
        <x:v>Travaux d'aménagement paysager d'espaces verts.</x:v>
      </x:c>
      <x:c r="F462" s="36" t="n">
        <x:v>41380</x:v>
      </x:c>
      <x:c r="G462" s="38" t="n">
        <x:v>43412</x:v>
      </x:c>
      <x:c r="H462" s="38" t="n">
        <x:v>43412</x:v>
      </x:c>
      <x:c r="I462" s="40" t="n">
        <x:v>12</x:v>
      </x:c>
      <x:c r="J462" s="33" t="str">
        <x:v>Marché</x:v>
      </x:c>
      <x:c r="K462" s="33" t="str">
        <x:v>Procédure adaptée</x:v>
      </x:c>
      <x:c r="L462" s="33" t="str">
        <x:v>Ferme et actualisable</x:v>
      </x:c>
      <x:c r="M462" s="33" t="str">
        <x:v>(80) Somme</x:v>
      </x:c>
      <x:c r="N462" s="33" t="str">
        <x:v>Oui</x:v>
      </x:c>
      <x:c r="O462" s="33" t="str">
        <x:v>data.gouv.fr_aife</x:v>
      </x:c>
      <x:c r="P462" s="33" t="str">
        <x:v>20182018T0007500</x:v>
      </x:c>
    </x:row>
    <x:row r="463">
      <x:c r="A463" s="33" t="str">
        <x:v>2018150903887500</x:v>
      </x:c>
      <x:c r="B463" s="33" t="str">
        <x:v>MINARM / SGA / SID / ESID Metz - Etablissement du service d'infrastructure de la défense de Metz - ESID Metz</x:v>
      </x:c>
      <x:c r="C463" s="33" t="str">
        <x:v>WH</x:v>
      </x:c>
      <x:c r="D463" s="33" t="str">
        <x:v>METZ (57) - Caserne de Lattre de Tassigny - Bât 0014 - Débit de boisson - Mise en œuvre de l'AD'AP 2018 - TRAVAUX EXTÉRIEURS</x:v>
      </x:c>
      <x:c r="E463" s="33" t="str">
        <x:v>Travaux de marquage routier.</x:v>
      </x:c>
      <x:c r="F463" s="36" t="n">
        <x:v>58500</x:v>
      </x:c>
      <x:c r="G463" s="38" t="n">
        <x:v>43412</x:v>
      </x:c>
      <x:c r="H463" s="38" t="n">
        <x:v>43412</x:v>
      </x:c>
      <x:c r="I463" s="40" t="n">
        <x:v>2</x:v>
      </x:c>
      <x:c r="J463" s="33" t="str">
        <x:v>Marché</x:v>
      </x:c>
      <x:c r="K463" s="33" t="str">
        <x:v>Appel d'offres ouvert</x:v>
      </x:c>
      <x:c r="L463" s="33" t="str">
        <x:v>Ferme et actualisable</x:v>
      </x:c>
      <x:c r="M463" s="33" t="str">
        <x:v>(57) Moselle</x:v>
      </x:c>
      <x:c r="N463" s="33" t="str">
        <x:v>Oui</x:v>
      </x:c>
      <x:c r="O463" s="33" t="str">
        <x:v>data.gouv.fr_aife</x:v>
      </x:c>
      <x:c r="P463" s="33" t="str">
        <x:v>2018150903887500</x:v>
      </x:c>
    </x:row>
    <x:row r="464">
      <x:c r="A464" s="33" t="str">
        <x:v>2018170008983400</x:v>
      </x:c>
      <x:c r="B464" s="33" t="str">
        <x:v>MINARM / DGA / DO / S2A / PROD / DA-IDFN - Division achats - Ile de France/Normandie</x:v>
      </x:c>
      <x:c r="C464" s="33" t="str">
        <x:v>SARTORIUS FRANCE</x:v>
      </x:c>
      <x:c r="D464" s="33" t="str">
        <x:v>Prestations d'étalonnage ou de vérifications métrologiques d'équipements spécifiques à DGA MNRBC - - Lot 1 : domaine volumétrie (appareils volumétriques à piston) - - Lot 2 : domaine températures et hygrométries relatives. - - Domaine volumétrie (</x:v>
      </x:c>
      <x:c r="E464" s="33" t="str">
        <x:v>Services d'étalonnage.</x:v>
      </x:c>
      <x:c r="F464" s="36" t="n">
        <x:v>140000</x:v>
      </x:c>
      <x:c r="G464" s="38" t="n">
        <x:v>43412</x:v>
      </x:c>
      <x:c r="H464" s="38" t="n">
        <x:v>43412</x:v>
      </x:c>
      <x:c r="I464" s="40" t="n">
        <x:v>60</x:v>
      </x:c>
      <x:c r="J464" s="33" t="str">
        <x:v>Accord-cadre</x:v>
      </x:c>
      <x:c r="K464" s="33" t="str">
        <x:v>Procédure adaptée</x:v>
      </x:c>
      <x:c r="L464" s="33" t="str">
        <x:v>Révisable</x:v>
      </x:c>
      <x:c r="M464" s="33" t="str">
        <x:v>(91) Essonne</x:v>
      </x:c>
      <x:c r="N464" s="33" t="str">
        <x:v>Oui</x:v>
      </x:c>
      <x:c r="O464" s="33" t="str">
        <x:v>data.gouv.fr_aife</x:v>
      </x:c>
      <x:c r="P464" s="33" t="str">
        <x:v>2018170008983400</x:v>
      </x:c>
    </x:row>
    <x:row r="465">
      <x:c r="A465" s="33" t="str">
        <x:v>2018100013144100</x:v>
      </x:c>
      <x:c r="B465" s="33" t="str">
        <x:v>MINARM / SGA / SPAC - Service Parisien de Soutien de l'Administration Centrale - SPAC</x:v>
      </x:c>
      <x:c r="C465" s="33" t="str">
        <x:v>BEARINGPOINT FRANCE SAS</x:v>
      </x:c>
      <x:c r="D465" s="33" t="str">
        <x:v>Mission d’assistance concernant les stocks de la direction de la maintenance aéronautique (DMAé)</x:v>
      </x:c>
      <x:c r="E465" s="33" t="str">
        <x:v>Services de conseil en gestion financière.</x:v>
      </x:c>
      <x:c r="F465" s="36" t="n">
        <x:v>307200</x:v>
      </x:c>
      <x:c r="G465" s="38" t="n">
        <x:v>43412</x:v>
      </x:c>
      <x:c r="H465" s="38" t="n">
        <x:v>43412</x:v>
      </x:c>
      <x:c r="I465" s="40" t="n">
        <x:v>6</x:v>
      </x:c>
      <x:c r="J465" s="33" t="str">
        <x:v>Marché subséquent</x:v>
      </x:c>
      <x:c r="K465" s="33" t="str">
        <x:v>Appel d'offres ouvert</x:v>
      </x:c>
      <x:c r="L465" s="33" t="str">
        <x:v>Ferme et actualisable</x:v>
      </x:c>
      <x:c r="M465" s="33" t="str">
        <x:v>(75) Paris</x:v>
      </x:c>
      <x:c r="N465" s="33" t="str">
        <x:v>Oui</x:v>
      </x:c>
      <x:c r="O465" s="33" t="str">
        <x:v>data.gouv.fr_aife</x:v>
      </x:c>
      <x:c r="P465" s="33" t="str">
        <x:v>2018100013144100</x:v>
      </x:c>
    </x:row>
    <x:row r="466">
      <x:c r="A466" s="33" t="str">
        <x:v>2018150908718700</x:v>
      </x:c>
      <x:c r="B466" s="33" t="str">
        <x:v>MINARM / SSF / DSSF Brest - Direction du service de soutien de la flotte de Brest - DSSF Brest</x:v>
      </x:c>
      <x:c r="C466" s="33" t="str">
        <x:v>LOGNAV-CM</x:v>
      </x:c>
      <x:c r="D466" s="33" t="str">
        <x:v>Approvisionnement de proportionneurs de 800 litres par minute de marque POK ou équivalent au profit des bâtiments de la Marine Nationale</x:v>
      </x:c>
      <x:c r="E466" s="33" t="str">
        <x:v>Pièces de rechange pour coque et pièces mécaniques pour navires de guerre.</x:v>
      </x:c>
      <x:c r="F466" s="36" t="n">
        <x:v>966</x:v>
      </x:c>
      <x:c r="G466" s="38" t="n">
        <x:v>43412</x:v>
      </x:c>
      <x:c r="H466" s="38" t="n">
        <x:v>43412</x:v>
      </x:c>
      <x:c r="I466" s="40" t="n">
        <x:v>1</x:v>
      </x:c>
      <x:c r="J466" s="33" t="str">
        <x:v>Marché</x:v>
      </x:c>
      <x:c r="K466" s="33" t="str">
        <x:v>Procédure adaptée</x:v>
      </x:c>
      <x:c r="L466" s="33" t="str">
        <x:v>Ferme</x:v>
      </x:c>
      <x:c r="M466" s="33" t="str">
        <x:v>(29) Finistère</x:v>
      </x:c>
      <x:c r="N466" s="33" t="str">
        <x:v>Oui</x:v>
      </x:c>
      <x:c r="O466" s="33" t="str">
        <x:v>data.gouv.fr_aife</x:v>
      </x:c>
      <x:c r="P466" s="33" t="str">
        <x:v>2018150908718700</x:v>
      </x:c>
    </x:row>
    <x:row r="467">
      <x:c r="A467" s="33" t="str">
        <x:v>20182018T0007400</x:v>
      </x:c>
      <x:c r="B467" s="33" t="str">
        <x:v>MINARM / ESTM / EPA / ONAC - Office National des Anciens Combattants et victimes de guerre</x:v>
      </x:c>
      <x:c r="C467" s="33" t="str">
        <x:v>LHOTELLIER BATIMENT</x:v>
      </x:c>
      <x:c r="D467" s="33" t="str">
        <x:v>Beuvraignes (80) - Rénovation de la nécropole nationale - Génie civil</x:v>
      </x:c>
      <x:c r="E467" s="33" t="str">
        <x:v>Travaux de gros œuvre en béton.</x:v>
      </x:c>
      <x:c r="F467" s="36" t="n">
        <x:v>258286</x:v>
      </x:c>
      <x:c r="G467" s="38" t="n">
        <x:v>43412</x:v>
      </x:c>
      <x:c r="H467" s="38" t="n">
        <x:v>43412</x:v>
      </x:c>
      <x:c r="I467" s="40" t="n">
        <x:v>7</x:v>
      </x:c>
      <x:c r="J467" s="33" t="str">
        <x:v>Marché</x:v>
      </x:c>
      <x:c r="K467" s="33" t="str">
        <x:v>Procédure adaptée</x:v>
      </x:c>
      <x:c r="L467" s="33" t="str">
        <x:v>Ferme et actualisable</x:v>
      </x:c>
      <x:c r="M467" s="33" t="str">
        <x:v>(80) Somme</x:v>
      </x:c>
      <x:c r="N467" s="33" t="str">
        <x:v>Oui</x:v>
      </x:c>
      <x:c r="O467" s="33" t="str">
        <x:v>data.gouv.fr_aife</x:v>
      </x:c>
      <x:c r="P467" s="33" t="str">
        <x:v>20182018T0007400</x:v>
      </x:c>
    </x:row>
    <x:row r="468">
      <x:c r="A468" s="33" t="str">
        <x:v>2018130013890200</x:v>
      </x:c>
      <x:c r="B468" s="33" t="str">
        <x:v>MINARM / SGA / SID / ESID Rennes - Etablissement du service d'infrastructure de la défense de Rennes - ESID Rennes</x:v>
      </x:c>
      <x:c r="C468" s="33" t="str">
        <x:v>ASSISTANCE TECHNIQUE ETUDES INSTALLATIONS SECURITE</x:v>
      </x:c>
      <x:c r="D468" s="33" t="str">
        <x:v>BdD de Tours (37) - MAINTENANCE DES INSTALLATIONS - ACCORD CADRE/BC - 3 lots - Maintenance et migration des systèmes incendie</x:v>
      </x:c>
      <x:c r="E468" s="33" t="str">
        <x:v>Travaux d'installation de dispositifs de prévention contre les incendies.</x:v>
      </x:c>
      <x:c r="F468" s="36" t="n">
        <x:v>1600000</x:v>
      </x:c>
      <x:c r="G468" s="38" t="n">
        <x:v>43413</x:v>
      </x:c>
      <x:c r="H468" s="38" t="n">
        <x:v>43413</x:v>
      </x:c>
      <x:c r="I468" s="40" t="n">
        <x:v>48</x:v>
      </x:c>
      <x:c r="J468" s="33" t="str">
        <x:v>Accord-cadre</x:v>
      </x:c>
      <x:c r="K468" s="33" t="str">
        <x:v>Appel d'offres ouvert</x:v>
      </x:c>
      <x:c r="L468" s="33" t="str">
        <x:v>Révisable</x:v>
      </x:c>
      <x:c r="M468" s="33" t="str">
        <x:v>(37) Indre-et-Loire</x:v>
      </x:c>
      <x:c r="N468" s="33" t="str">
        <x:v>Oui</x:v>
      </x:c>
      <x:c r="O468" s="33" t="str">
        <x:v>data.gouv.fr_aife</x:v>
      </x:c>
      <x:c r="P468" s="33" t="str">
        <x:v>2018130013890200</x:v>
      </x:c>
    </x:row>
    <x:row r="469">
      <x:c r="A469" s="33" t="str">
        <x:v>2018130013910200</x:v>
      </x:c>
      <x:c r="B469" s="33" t="str">
        <x:v>MINARM / SGA / SID / ESID Rennes - Etablissement du service d'infrastructure de la défense de Rennes - ESID Rennes</x:v>
      </x:c>
      <x:c r="C469" s="33" t="str">
        <x:v>SPIE FACILITIES</x:v>
      </x:c>
      <x:c r="D469" s="33" t="str">
        <x:v>BOURGES - AVORD (18) - Maintenance des portes, portails et barrières sur les sites militaires - Maintenance des portes, portails et barrières</x:v>
      </x:c>
      <x:c r="E469" s="33" t="str">
        <x:v>Menuiserie pour la construction.</x:v>
      </x:c>
      <x:c r="F469" s="36" t="n">
        <x:v>400000</x:v>
      </x:c>
      <x:c r="G469" s="38" t="n">
        <x:v>43413</x:v>
      </x:c>
      <x:c r="H469" s="38" t="n">
        <x:v>43413</x:v>
      </x:c>
      <x:c r="I469" s="40" t="n">
        <x:v>48</x:v>
      </x:c>
      <x:c r="J469" s="33" t="str">
        <x:v>Accord-cadre</x:v>
      </x:c>
      <x:c r="K469" s="33" t="str">
        <x:v>Appel d'offres ouvert</x:v>
      </x:c>
      <x:c r="L469" s="33" t="str">
        <x:v>Révisable</x:v>
      </x:c>
      <x:c r="M469" s="33" t="str">
        <x:v>(18) Cher</x:v>
      </x:c>
      <x:c r="N469" s="33" t="str">
        <x:v>Oui</x:v>
      </x:c>
      <x:c r="O469" s="33" t="str">
        <x:v>data.gouv.fr_aife</x:v>
      </x:c>
      <x:c r="P469" s="33" t="str">
        <x:v>2018130013910200</x:v>
      </x:c>
    </x:row>
    <x:row r="470">
      <x:c r="A470" s="33" t="str">
        <x:v>2018130013923600</x:v>
      </x:c>
      <x:c r="B470" s="33" t="str">
        <x:v>MINARM / SGA / SID / ESID Rennes - Etablissement du service d'infrastructure de la défense de Rennes - ESID Rennes</x:v>
      </x:c>
      <x:c r="C470" s="33" t="str">
        <x:v>SOCIETE-MISSENARD QUINT B</x:v>
      </x:c>
      <x:c r="D470" s="33" t="str">
        <x:v>CHERBOURG (50) - Base de Défense de Cherbourg Maintien en condition opérationnelle déquipements industriels multi techniques et multi spécifiques - CENTRALES DASPIRATION DES COPEAUX ET DES FUMEES -</x:v>
      </x:c>
      <x:c r="E470" s="33" t="str">
        <x:v>Réparation et entretien d'équipements.</x:v>
      </x:c>
      <x:c r="F470" s="36" t="n">
        <x:v>40000</x:v>
      </x:c>
      <x:c r="G470" s="38" t="n">
        <x:v>43413</x:v>
      </x:c>
      <x:c r="H470" s="38" t="n">
        <x:v>43413</x:v>
      </x:c>
      <x:c r="I470" s="40" t="n">
        <x:v>48</x:v>
      </x:c>
      <x:c r="J470" s="33" t="str">
        <x:v>Accord-cadre</x:v>
      </x:c>
      <x:c r="K470" s="33" t="str">
        <x:v>Appel d'offres ouvert</x:v>
      </x:c>
      <x:c r="L470" s="33" t="str">
        <x:v>Révisable</x:v>
      </x:c>
      <x:c r="M470" s="33" t="str">
        <x:v>(50) Manche</x:v>
      </x:c>
      <x:c r="N470" s="33" t="str">
        <x:v>Oui</x:v>
      </x:c>
      <x:c r="O470" s="33" t="str">
        <x:v>data.gouv.fr_aife</x:v>
      </x:c>
      <x:c r="P470" s="33" t="str">
        <x:v>2018130013923600</x:v>
      </x:c>
    </x:row>
    <x:row r="471">
      <x:c r="A471" s="33" t="str">
        <x:v>20182019F2010800</x:v>
      </x:c>
      <x:c r="B471" s="33" t="str">
        <x:v>MINARM / ESTM / EPA / SHOM - Service hydrographique et océanographique de la Marine</x:v>
      </x:c>
      <x:c r="C471" s="33" t="str">
        <x:v>EUROPEAN SPACE IMAGING</x:v>
      </x:c>
      <x:c r="D471" s="33" t="str">
        <x:v>Fourniture d'images satellite WorldView.</x:v>
      </x:c>
      <x:c r="E471" s="33" t="str">
        <x:v>Services de fourniture de données.</x:v>
      </x:c>
      <x:c r="F471" s="36" t="n">
        <x:v>61461</x:v>
      </x:c>
      <x:c r="G471" s="38" t="n">
        <x:v>43413</x:v>
      </x:c>
      <x:c r="H471" s="38" t="n">
        <x:v>43413</x:v>
      </x:c>
      <x:c r="I471" s="40" t="n">
        <x:v>3</x:v>
      </x:c>
      <x:c r="J471" s="33" t="str">
        <x:v>Marché</x:v>
      </x:c>
      <x:c r="K471" s="33" t="str">
        <x:v>Procédure adaptée</x:v>
      </x:c>
      <x:c r="L471" s="33" t="str">
        <x:v>Ferme</x:v>
      </x:c>
      <x:c r="M471" s="33" t="str">
        <x:v>(29) Finistère</x:v>
      </x:c>
      <x:c r="N471" s="33" t="str">
        <x:v>Oui</x:v>
      </x:c>
      <x:c r="O471" s="33" t="str">
        <x:v>data.gouv.fr_aife</x:v>
      </x:c>
      <x:c r="P471" s="33" t="str">
        <x:v>20182019F2010800</x:v>
      </x:c>
    </x:row>
    <x:row r="472">
      <x:c r="A472" s="33" t="str">
        <x:v>2018130013894000</x:v>
      </x:c>
      <x:c r="B472" s="33" t="str">
        <x:v>MINARM / SGA / SID / ESID Rennes - Etablissement du service d'infrastructure de la défense de Rennes - ESID Rennes</x:v>
      </x:c>
      <x:c r="C472" s="33" t="str">
        <x:v>ENTREPRISE MARC SA</x:v>
      </x:c>
      <x:c r="D472" s="33" t="str">
        <x:v>Arrondissement maritime de la Manche et de la Mer du Nord - (50, 14, 76) - Accord-cadre mono attributaire pour la réalisation de travaux sur ouvrages maritimes</x:v>
      </x:c>
      <x:c r="E472" s="33" t="str">
        <x:v>Ouvrages maritimes.</x:v>
      </x:c>
      <x:c r="F472" s="36" t="n">
        <x:v>1200000</x:v>
      </x:c>
      <x:c r="G472" s="38" t="n">
        <x:v>43413</x:v>
      </x:c>
      <x:c r="H472" s="38" t="n">
        <x:v>43413</x:v>
      </x:c>
      <x:c r="I472" s="40" t="n">
        <x:v>48</x:v>
      </x:c>
      <x:c r="J472" s="33" t="str">
        <x:v>Accord-cadre</x:v>
      </x:c>
      <x:c r="K472" s="33" t="str">
        <x:v>Appel d'offres ouvert</x:v>
      </x:c>
      <x:c r="L472" s="33" t="str">
        <x:v>Révisable</x:v>
      </x:c>
      <x:c r="M472" s="33" t="str">
        <x:v>(50) Manche</x:v>
      </x:c>
      <x:c r="N472" s="33" t="str">
        <x:v>Oui</x:v>
      </x:c>
      <x:c r="O472" s="33" t="str">
        <x:v>data.gouv.fr_aife</x:v>
      </x:c>
      <x:c r="P472" s="33" t="str">
        <x:v>2018130013894000</x:v>
      </x:c>
    </x:row>
    <x:row r="473">
      <x:c r="A473" s="33" t="str">
        <x:v>2018130013896600</x:v>
      </x:c>
      <x:c r="B473" s="33" t="str">
        <x:v>MINARM / SGA / SPAC - Service Parisien de Soutien de l'Administration Centrale - SPAC</x:v>
      </x:c>
      <x:c r="C473" s="33" t="str">
        <x:v>FLASH COPY</x:v>
      </x:c>
      <x:c r="D473" s="33" t="str">
        <x:v>Prestations de numérisation et de contrôle des registres matricules contrôles de troupes</x:v>
      </x:c>
      <x:c r="E473" s="33" t="str">
        <x:v>Services d'archivage informatique.</x:v>
      </x:c>
      <x:c r="F473" s="36" t="n">
        <x:v>49740</x:v>
      </x:c>
      <x:c r="G473" s="38" t="n">
        <x:v>43413</x:v>
      </x:c>
      <x:c r="H473" s="38" t="n">
        <x:v>43413</x:v>
      </x:c>
      <x:c r="I473" s="40" t="n">
        <x:v>9</x:v>
      </x:c>
      <x:c r="J473" s="33" t="str">
        <x:v>Marché subséquent</x:v>
      </x:c>
      <x:c r="K473" s="33" t="str">
        <x:v>Appel d'offres ouvert</x:v>
      </x:c>
      <x:c r="L473" s="33" t="str">
        <x:v>Ferme</x:v>
      </x:c>
      <x:c r="M473" s="33" t="str">
        <x:v>(94) Val-de-Marne</x:v>
      </x:c>
      <x:c r="N473" s="33" t="str">
        <x:v>Oui</x:v>
      </x:c>
      <x:c r="O473" s="33" t="str">
        <x:v>data.gouv.fr_aife</x:v>
      </x:c>
      <x:c r="P473" s="33" t="str">
        <x:v>2018130013896600</x:v>
      </x:c>
    </x:row>
    <x:row r="474">
      <x:c r="A474" s="33" t="str">
        <x:v>2018150908705400</x:v>
      </x:c>
      <x:c r="B474" s="33" t="str">
        <x:v>MINARM / SSF / DSSF Brest - Direction du service de soutien de la flotte de Brest - DSSF Brest</x:v>
      </x:c>
      <x:c r="C474" s="33" t="str">
        <x:v>LOGNAV-CM</x:v>
      </x:c>
      <x:c r="D474" s="33" t="str">
        <x:v>Fourniture de contacteurs et de membranes de marques diverses ou équivalentes au profit des bâtiments de la marine nationale</x:v>
      </x:c>
      <x:c r="E474" s="33" t="str">
        <x:v>Pièces électroniques et électriques de rechange pour navires de guerre.</x:v>
      </x:c>
      <x:c r="F474" s="36" t="n">
        <x:v>2919</x:v>
      </x:c>
      <x:c r="G474" s="38" t="n">
        <x:v>43413</x:v>
      </x:c>
      <x:c r="H474" s="38" t="n">
        <x:v>43413</x:v>
      </x:c>
      <x:c r="I474" s="40" t="n">
        <x:v>9</x:v>
      </x:c>
      <x:c r="J474" s="33" t="str">
        <x:v>Marché</x:v>
      </x:c>
      <x:c r="K474" s="33" t="str">
        <x:v>Procédure adaptée</x:v>
      </x:c>
      <x:c r="L474" s="33" t="str">
        <x:v>Ferme</x:v>
      </x:c>
      <x:c r="M474" s="33" t="str">
        <x:v>(29) Finistère</x:v>
      </x:c>
      <x:c r="N474" s="33" t="str">
        <x:v>Oui</x:v>
      </x:c>
      <x:c r="O474" s="33" t="str">
        <x:v>data.gouv.fr_aife</x:v>
      </x:c>
      <x:c r="P474" s="33" t="str">
        <x:v>2018150908705400</x:v>
      </x:c>
    </x:row>
    <x:row r="475">
      <x:c r="A475" s="33" t="str">
        <x:v>2018150908720200</x:v>
      </x:c>
      <x:c r="B475" s="33" t="str">
        <x:v>MINARM / SSF / DSSF Brest - Direction du service de soutien de la flotte de Brest - DSSF Brest</x:v>
      </x:c>
      <x:c r="C475" s="33" t="str">
        <x:v>LOGNAV-CM</x:v>
      </x:c>
      <x:c r="D475" s="33" t="str">
        <x:v>Approvisionnement de mégaphones et fiches téléphoniques de marques diverses ou équivalent au profit des bâtiments de la Marine Nationale</x:v>
      </x:c>
      <x:c r="E475" s="33" t="str">
        <x:v>Pièces électroniques et électriques de rechange pour navires de guerre.</x:v>
      </x:c>
      <x:c r="F475" s="36" t="n">
        <x:v>3326</x:v>
      </x:c>
      <x:c r="G475" s="38" t="n">
        <x:v>43413</x:v>
      </x:c>
      <x:c r="H475" s="38" t="n">
        <x:v>43413</x:v>
      </x:c>
      <x:c r="I475" s="40" t="n">
        <x:v>3</x:v>
      </x:c>
      <x:c r="J475" s="33" t="str">
        <x:v>Marché</x:v>
      </x:c>
      <x:c r="K475" s="33" t="str">
        <x:v>Procédure adaptée</x:v>
      </x:c>
      <x:c r="L475" s="33" t="str">
        <x:v>Ferme</x:v>
      </x:c>
      <x:c r="M475" s="33" t="str">
        <x:v>(29) Finistère</x:v>
      </x:c>
      <x:c r="N475" s="33" t="str">
        <x:v>Oui</x:v>
      </x:c>
      <x:c r="O475" s="33" t="str">
        <x:v>data.gouv.fr_aife</x:v>
      </x:c>
      <x:c r="P475" s="33" t="str">
        <x:v>2018150908720200</x:v>
      </x:c>
    </x:row>
    <x:row r="476">
      <x:c r="A476" s="33" t="str">
        <x:v>2018100013178100</x:v>
      </x:c>
      <x:c r="B476" s="33" t="str">
        <x:v>MINARM / SSF / DSSF Toulon - Direction du service de soutien de la flotte de Toulon - DSSF Toulon</x:v>
      </x:c>
      <x:c r="C476" s="33" t="str">
        <x:v>BEUCHAT INTERNATIONAL SA</x:v>
      </x:c>
      <x:c r="D476" s="33" t="str">
        <x:v>Accord cadre N° 2016 M 16 T 20 016 relatif à la fourniture de matériels et d'équipements de plongée au profit des Eléments de la Force Maritime (EFM) et des Eléments de Force Armées (EFA). -</x:v>
      </x:c>
      <x:c r="E476" s="33" t="str">
        <x:v>Instruments ou accessoires de plongée.</x:v>
      </x:c>
      <x:c r="F476" s="36" t="n">
        <x:v>7015</x:v>
      </x:c>
      <x:c r="G476" s="38" t="n">
        <x:v>43413</x:v>
      </x:c>
      <x:c r="H476" s="38" t="n">
        <x:v>43413</x:v>
      </x:c>
      <x:c r="I476" s="40" t="n">
        <x:v>12</x:v>
      </x:c>
      <x:c r="J476" s="33" t="str">
        <x:v>Marché subséquent</x:v>
      </x:c>
      <x:c r="K476" s="33" t="str">
        <x:v>Appel d'offres ouvert</x:v>
      </x:c>
      <x:c r="L476" s="33" t="str">
        <x:v>Ferme et actualisable</x:v>
      </x:c>
      <x:c r="M476" s="33" t="str">
        <x:v>(83) Var</x:v>
      </x:c>
      <x:c r="N476" s="33" t="str">
        <x:v>Oui</x:v>
      </x:c>
      <x:c r="O476" s="33" t="str">
        <x:v>data.gouv.fr_aife</x:v>
      </x:c>
      <x:c r="P476" s="33" t="str">
        <x:v>2018100013178100</x:v>
      </x:c>
    </x:row>
    <x:row r="477">
      <x:c r="A477" s="33" t="str">
        <x:v>2018130013915000</x:v>
      </x:c>
      <x:c r="B477" s="33" t="str">
        <x:v>MINARM / SGA / SID / ESID Rennes - Etablissement du service d'infrastructure de la défense de Rennes - ESID Rennes</x:v>
      </x:c>
      <x:c r="C477" s="33" t="str">
        <x:v>TRAVAUX PUBLICS ET BATIMENTS DU CENTRE</x:v>
      </x:c>
      <x:c r="D477" s="33" t="str">
        <x:v>Base de Défense Bourges-Avord (18) - Accord cadre à bon de commande pour les Travaux dentretien, et daménagements des ouvrages de maçonnerie sur les sites militaires. - DGA TT à Bourges (18), Centre de Formation de la Défense à Bourges (18), Ecoles</x:v>
      </x:c>
      <x:c r="E477" s="33" t="str">
        <x:v>Travaux de maçonnerie et de briquetage.</x:v>
      </x:c>
      <x:c r="F477" s="36" t="n">
        <x:v>2400000</x:v>
      </x:c>
      <x:c r="G477" s="38" t="n">
        <x:v>43413</x:v>
      </x:c>
      <x:c r="H477" s="38" t="n">
        <x:v>43413</x:v>
      </x:c>
      <x:c r="I477" s="40" t="n">
        <x:v>48</x:v>
      </x:c>
      <x:c r="J477" s="33" t="str">
        <x:v>Accord-cadre</x:v>
      </x:c>
      <x:c r="K477" s="33" t="str">
        <x:v>Appel d'offres ouvert</x:v>
      </x:c>
      <x:c r="L477" s="33" t="str">
        <x:v>Révisable</x:v>
      </x:c>
      <x:c r="M477" s="33" t="str">
        <x:v>(36) Indre</x:v>
      </x:c>
      <x:c r="N477" s="33" t="str">
        <x:v>Oui</x:v>
      </x:c>
      <x:c r="O477" s="33" t="str">
        <x:v>data.gouv.fr_aife</x:v>
      </x:c>
      <x:c r="P477" s="33" t="str">
        <x:v>2018130013915000</x:v>
      </x:c>
    </x:row>
    <x:row r="478">
      <x:c r="A478" s="33" t="str">
        <x:v>2018150906197900</x:v>
      </x:c>
      <x:c r="B478" s="33" t="str">
        <x:v>MINARM / SGA / SID / ESID Rennes - Etablissement du service d'infrastructure de la défense de Rennes - ESID Rennes</x:v>
      </x:c>
      <x:c r="C478" s="33" t="str">
        <x:v>TPC</x:v>
      </x:c>
      <x:c r="D478" s="33" t="str">
        <x:v>CHERBOURG (50) - Port militaire - Réalisation d'un dispositif d'accueil INES-PN du GE pour retrait SNA type "RUBIS" - Génie civil</x:v>
      </x:c>
      <x:c r="E478" s="33" t="str">
        <x:v>Travaux de maçonnerie et de briquetage.</x:v>
      </x:c>
      <x:c r="F478" s="36" t="n">
        <x:v>198129</x:v>
      </x:c>
      <x:c r="G478" s="38" t="n">
        <x:v>43413</x:v>
      </x:c>
      <x:c r="H478" s="38" t="n">
        <x:v>43413</x:v>
      </x:c>
      <x:c r="I478" s="40" t="n">
        <x:v>5</x:v>
      </x:c>
      <x:c r="J478" s="33" t="str">
        <x:v>Marché</x:v>
      </x:c>
      <x:c r="K478" s="33" t="str">
        <x:v>Appel d'offres ouvert</x:v>
      </x:c>
      <x:c r="L478" s="33" t="str">
        <x:v>Révisable</x:v>
      </x:c>
      <x:c r="M478" s="33" t="str">
        <x:v>(50) Manche</x:v>
      </x:c>
      <x:c r="N478" s="33" t="str">
        <x:v>Oui</x:v>
      </x:c>
      <x:c r="O478" s="33" t="str">
        <x:v>data.gouv.fr_aife</x:v>
      </x:c>
      <x:c r="P478" s="33" t="str">
        <x:v>2018150906197900</x:v>
      </x:c>
    </x:row>
    <x:row r="479">
      <x:c r="A479" s="33" t="str">
        <x:v>2018100013166000</x:v>
      </x:c>
      <x:c r="B479" s="33" t="str">
        <x:v>MINARM / SGA / SID / ESID BREST - Etablissement du service d'infrastructure de la défense de BREST - ESID Brest</x:v>
      </x:c>
      <x:c r="C479" s="33" t="str">
        <x:v>SADE - COMPAGNIE GENERALE DE TRAVAUX HYDRAULIQUES</x:v>
      </x:c>
      <x:c r="D479" s="33" t="str">
        <x:v>Marché subséquent n° 3242 à l'Accord-Cadre à Marchés Subséquents pour la réalisation de détections non intrusives et de géo référencement des réseaux enterrés dans les départements 22, 29 et 56. Périmètre de l'ESID de Brest - Réalisation d</x:v>
      </x:c>
      <x:c r="E479" s="33" t="str">
        <x:v>Services topographiques.</x:v>
      </x:c>
      <x:c r="F479" s="36" t="n">
        <x:v>20200</x:v>
      </x:c>
      <x:c r="G479" s="38" t="n">
        <x:v>43413</x:v>
      </x:c>
      <x:c r="H479" s="38" t="n">
        <x:v>43413</x:v>
      </x:c>
      <x:c r="I479" s="40" t="n">
        <x:v>2</x:v>
      </x:c>
      <x:c r="J479" s="33" t="str">
        <x:v>Marché subséquent</x:v>
      </x:c>
      <x:c r="K479" s="33" t="str">
        <x:v>Appel d'offres ouvert</x:v>
      </x:c>
      <x:c r="L479" s="33" t="str">
        <x:v>Révisable</x:v>
      </x:c>
      <x:c r="M479" s="33" t="str">
        <x:v>(29) Finistère</x:v>
      </x:c>
      <x:c r="N479" s="33" t="str">
        <x:v>Oui</x:v>
      </x:c>
      <x:c r="O479" s="33" t="str">
        <x:v>data.gouv.fr_aife</x:v>
      </x:c>
      <x:c r="P479" s="33" t="str">
        <x:v>2018100013166000</x:v>
      </x:c>
    </x:row>
    <x:row r="480">
      <x:c r="A480" s="33" t="str">
        <x:v>2018170008982200</x:v>
      </x:c>
      <x:c r="B480" s="33" t="str">
        <x:v>MINARM / DGA / DO / S2A / PROD / DA-IDFN - Division achats - Ile de France/Normandie</x:v>
      </x:c>
      <x:c r="C480" s="33" t="str">
        <x:v>AEROMETROLOGIE</x:v>
      </x:c>
      <x:c r="D480" s="33" t="str">
        <x:v>Prestations d'étalonnage ou de vérifications métrologiques d'équipements spécifiques à DGA MNRBC - - Lot 1 : domaine volumétrie (appareils volumétriques à piston) - - Lot 2 : domaine températures et hygrométries relatives. - - Domaine températures</x:v>
      </x:c>
      <x:c r="E480" s="33" t="str">
        <x:v>Services d'étalonnage.</x:v>
      </x:c>
      <x:c r="F480" s="36" t="n">
        <x:v>190000</x:v>
      </x:c>
      <x:c r="G480" s="38" t="n">
        <x:v>43413</x:v>
      </x:c>
      <x:c r="H480" s="38" t="n">
        <x:v>43413</x:v>
      </x:c>
      <x:c r="I480" s="40" t="n">
        <x:v>60</x:v>
      </x:c>
      <x:c r="J480" s="33" t="str">
        <x:v>Accord-cadre</x:v>
      </x:c>
      <x:c r="K480" s="33" t="str">
        <x:v>Procédure adaptée</x:v>
      </x:c>
      <x:c r="L480" s="33" t="str">
        <x:v>Révisable</x:v>
      </x:c>
      <x:c r="M480" s="33" t="str">
        <x:v>(91) Essonne</x:v>
      </x:c>
      <x:c r="N480" s="33" t="str">
        <x:v>Oui</x:v>
      </x:c>
      <x:c r="O480" s="33" t="str">
        <x:v>data.gouv.fr_aife</x:v>
      </x:c>
      <x:c r="P480" s="33" t="str">
        <x:v>2018170008982200</x:v>
      </x:c>
    </x:row>
    <x:row r="481">
      <x:c r="A481" s="33" t="str">
        <x:v>2018150908942400</x:v>
      </x:c>
      <x:c r="B481" s="33" t="str">
        <x:v>MINARM / SSF / DSSF Brest - Direction du service de soutien de la flotte de Brest - DSSF Brest</x:v>
      </x:c>
      <x:c r="C481" s="33" t="str">
        <x:v>LOGNAV-CM</x:v>
      </x:c>
      <x:c r="D481" s="33" t="str">
        <x:v>Approvisionnement d’un conducteur électrique de marque VOLVO PENTA ou équivalent au profit des bâtiments de la Marine Nationale</x:v>
      </x:c>
      <x:c r="E481" s="33" t="str">
        <x:v>Pièces de rechange pour coque et pièces mécaniques pour navires de guerre.</x:v>
      </x:c>
      <x:c r="F481" s="36" t="n">
        <x:v>440</x:v>
      </x:c>
      <x:c r="G481" s="38" t="n">
        <x:v>43413</x:v>
      </x:c>
      <x:c r="H481" s="38" t="n">
        <x:v>43413</x:v>
      </x:c>
      <x:c r="I481" s="40" t="n">
        <x:v>1</x:v>
      </x:c>
      <x:c r="J481" s="33" t="str">
        <x:v>Marché</x:v>
      </x:c>
      <x:c r="K481" s="33" t="str">
        <x:v>Procédure adaptée</x:v>
      </x:c>
      <x:c r="L481" s="33" t="str">
        <x:v>Ferme</x:v>
      </x:c>
      <x:c r="M481" s="33" t="str">
        <x:v>(29) Finistère</x:v>
      </x:c>
      <x:c r="N481" s="33" t="str">
        <x:v>Oui</x:v>
      </x:c>
      <x:c r="O481" s="33" t="str">
        <x:v>data.gouv.fr_aife</x:v>
      </x:c>
      <x:c r="P481" s="33" t="str">
        <x:v>2018150908942400</x:v>
      </x:c>
    </x:row>
    <x:row r="482">
      <x:c r="A482" s="33" t="str">
        <x:v>2018100013172100</x:v>
      </x:c>
      <x:c r="B482" s="33" t="str">
        <x:v>MINARM / SSF / DSSF Toulon - Direction du service de soutien de la flotte de Toulon - DSSF Toulon</x:v>
      </x:c>
      <x:c r="C482" s="33" t="str">
        <x:v>LOGNAV-CM</x:v>
      </x:c>
      <x:c r="D482" s="33" t="str">
        <x:v>Accord-Cadre M16T20 010 relatif à l’approvisionnement de matériels électriques et électroniques pour le maintien en condition opérationnelle des Éléments de Force Maritime</x:v>
      </x:c>
      <x:c r="E482" s="33" t="str">
        <x:v>Pièces électroniques et électriques de rechange pour navires de guerre.</x:v>
      </x:c>
      <x:c r="F482" s="36" t="n">
        <x:v>1595</x:v>
      </x:c>
      <x:c r="G482" s="38" t="n">
        <x:v>43413</x:v>
      </x:c>
      <x:c r="H482" s="38" t="n">
        <x:v>43413</x:v>
      </x:c>
      <x:c r="I482" s="40" t="n">
        <x:v>1</x:v>
      </x:c>
      <x:c r="J482" s="33" t="str">
        <x:v>Marché subséquent</x:v>
      </x:c>
      <x:c r="K482" s="33" t="str">
        <x:v>Appel d'offres ouvert</x:v>
      </x:c>
      <x:c r="L482" s="33" t="str">
        <x:v>Ferme et actualisable</x:v>
      </x:c>
      <x:c r="M482" s="33" t="str">
        <x:v>(83) Var</x:v>
      </x:c>
      <x:c r="N482" s="33" t="str">
        <x:v>Oui</x:v>
      </x:c>
      <x:c r="O482" s="33" t="str">
        <x:v>data.gouv.fr_aife</x:v>
      </x:c>
      <x:c r="P482" s="33" t="str">
        <x:v>2018100013172100</x:v>
      </x:c>
    </x:row>
    <x:row r="483">
      <x:c r="A483" s="33" t="str">
        <x:v>2018100013173300</x:v>
      </x:c>
      <x:c r="B483" s="33" t="str">
        <x:v>MINARM / SSF / DSSF Toulon - Direction du service de soutien de la flotte de Toulon - DSSF Toulon</x:v>
      </x:c>
      <x:c r="C483" s="33" t="str">
        <x:v>LOGNAV-CM</x:v>
      </x:c>
      <x:c r="D483" s="33" t="str">
        <x:v>Accord cadre N° 2016M16T20 003 relatif à la fourniture de matériels de quincaillerie et d'outillage naval. -</x:v>
      </x:c>
      <x:c r="E483" s="33" t="str">
        <x:v>Quincaillerie.</x:v>
      </x:c>
      <x:c r="F483" s="36" t="n">
        <x:v>18785</x:v>
      </x:c>
      <x:c r="G483" s="38" t="n">
        <x:v>43413</x:v>
      </x:c>
      <x:c r="H483" s="38" t="n">
        <x:v>43413</x:v>
      </x:c>
      <x:c r="I483" s="40" t="n">
        <x:v>12</x:v>
      </x:c>
      <x:c r="J483" s="33" t="str">
        <x:v>Marché subséquent</x:v>
      </x:c>
      <x:c r="K483" s="33" t="str">
        <x:v>Appel d'offres ouvert</x:v>
      </x:c>
      <x:c r="L483" s="33" t="str">
        <x:v>Révisable</x:v>
      </x:c>
      <x:c r="M483" s="33" t="str">
        <x:v>(83) Var</x:v>
      </x:c>
      <x:c r="N483" s="33" t="str">
        <x:v>Oui</x:v>
      </x:c>
      <x:c r="O483" s="33" t="str">
        <x:v>data.gouv.fr_aife</x:v>
      </x:c>
      <x:c r="P483" s="33" t="str">
        <x:v>2018100013173300</x:v>
      </x:c>
    </x:row>
    <x:row r="484">
      <x:c r="A484" s="33" t="str">
        <x:v>2018120005872100</x:v>
      </x:c>
      <x:c r="B484" s="33" t="str">
        <x:v>MINARM / SSF / DSSF Toulon - Direction du service de soutien de la flotte de Toulon - DSSF Toulon</x:v>
      </x:c>
      <x:c r="C484" s="33" t="str">
        <x:v>MIRION TECHNOLOGIES (MGPI) SAS</x:v>
      </x:c>
      <x:c r="D484" s="33" t="str">
        <x:v>Marché subséquent M18TDOSI1801 suite à l'accord cadre n° M18TDOSI18 relatif au maintien en condition opérationnelle du système de dosimétrie DOSISERV</x:v>
      </x:c>
      <x:c r="E484" s="33" t="str">
        <x:v>Services de réparation et d'entretien d'armes et de systèmes d'arme.</x:v>
      </x:c>
      <x:c r="F484" s="36" t="n">
        <x:v>1986344</x:v>
      </x:c>
      <x:c r="G484" s="38" t="n">
        <x:v>43413</x:v>
      </x:c>
      <x:c r="H484" s="38" t="n">
        <x:v>43413</x:v>
      </x:c>
      <x:c r="I484" s="40" t="n">
        <x:v>60</x:v>
      </x:c>
      <x:c r="J484" s="33" t="str">
        <x:v>Marché subséquent</x:v>
      </x:c>
      <x:c r="K484" s="33" t="str">
        <x:v>Appel d'offres ouvert</x:v>
      </x:c>
      <x:c r="L484" s="33" t="str">
        <x:v>Ferme et actualisable</x:v>
      </x:c>
      <x:c r="M484" s="33" t="str">
        <x:v>(83) Var</x:v>
      </x:c>
      <x:c r="N484" s="33" t="str">
        <x:v>Oui</x:v>
      </x:c>
      <x:c r="O484" s="33" t="str">
        <x:v>data.gouv.fr_aife</x:v>
      </x:c>
      <x:c r="P484" s="33" t="str">
        <x:v>2018120005872100</x:v>
      </x:c>
    </x:row>
    <x:row r="485">
      <x:c r="A485" s="33" t="str">
        <x:v>2018150909411400</x:v>
      </x:c>
      <x:c r="B485" s="33" t="str">
        <x:v>MINARM / SGA / SID / ESID Rennes - Etablissement du service d'infrastructure de la défense de Rennes - ESID Rennes</x:v>
      </x:c>
      <x:c r="C485" s="33" t="str">
        <x:v>ISM INGENIERIE</x:v>
      </x:c>
      <x:c r="D485" s="33" t="str">
        <x:v>Port militaire de Cherbourg (50) - Études et pré-dimensionnement du système de halage et amarrage pour la mise en sécurité des SNA type RUBIS en cas de submersion marine -</x:v>
      </x:c>
      <x:c r="E485" s="33" t="str">
        <x:v>Services d'ingénierie.</x:v>
      </x:c>
      <x:c r="F485" s="36" t="n">
        <x:v>48160</x:v>
      </x:c>
      <x:c r="G485" s="38" t="n">
        <x:v>43413</x:v>
      </x:c>
      <x:c r="H485" s="38" t="n">
        <x:v>43413</x:v>
      </x:c>
      <x:c r="I485" s="40" t="n">
        <x:v>3</x:v>
      </x:c>
      <x:c r="J485" s="33" t="str">
        <x:v>Marché</x:v>
      </x:c>
      <x:c r="K485" s="33" t="str">
        <x:v>Appel d'offres ouvert</x:v>
      </x:c>
      <x:c r="L485" s="33" t="str">
        <x:v>Ferme</x:v>
      </x:c>
      <x:c r="M485" s="33" t="str">
        <x:v>(50) Manche</x:v>
      </x:c>
      <x:c r="N485" s="33" t="str">
        <x:v>Oui</x:v>
      </x:c>
      <x:c r="O485" s="33" t="str">
        <x:v>data.gouv.fr_aife</x:v>
      </x:c>
      <x:c r="P485" s="33" t="str">
        <x:v>2018150909411400</x:v>
      </x:c>
    </x:row>
    <x:row r="486">
      <x:c r="A486" s="33" t="str">
        <x:v>2018150908710400</x:v>
      </x:c>
      <x:c r="B486" s="33" t="str">
        <x:v>MINARM / SGA / SID / ESID Metz - Etablissement du service d'infrastructure de la défense de Metz - ESID Metz</x:v>
      </x:c>
      <x:c r="C486" s="33" t="str">
        <x:v>PARISOT ET COMPAGNIE</x:v>
      </x:c>
      <x:c r="D486" s="33" t="str">
        <x:v>AUXONNE (21) - Quartier Marey-Monge - bâtiment 0012 - Rénovation des plafonds suspendus des circulations</x:v>
      </x:c>
      <x:c r="E486" s="33" t="str">
        <x:v>Mise en place de plafonds suspendus.</x:v>
      </x:c>
      <x:c r="F486" s="36" t="n">
        <x:v>27418</x:v>
      </x:c>
      <x:c r="G486" s="38" t="n">
        <x:v>43413</x:v>
      </x:c>
      <x:c r="H486" s="38" t="n">
        <x:v>43413</x:v>
      </x:c>
      <x:c r="I486" s="40" t="n">
        <x:v>4</x:v>
      </x:c>
      <x:c r="J486" s="33" t="str">
        <x:v>Marché</x:v>
      </x:c>
      <x:c r="K486" s="33" t="str">
        <x:v>Appel d'offres ouvert</x:v>
      </x:c>
      <x:c r="L486" s="33" t="str">
        <x:v>Ferme et actualisable</x:v>
      </x:c>
      <x:c r="M486" s="33" t="str">
        <x:v>(21) Côte-d'Or</x:v>
      </x:c>
      <x:c r="N486" s="33" t="str">
        <x:v>Oui</x:v>
      </x:c>
      <x:c r="O486" s="33" t="str">
        <x:v>data.gouv.fr_aife</x:v>
      </x:c>
      <x:c r="P486" s="33" t="str">
        <x:v>2018150908710400</x:v>
      </x:c>
    </x:row>
    <x:row r="487">
      <x:c r="A487" s="33" t="str">
        <x:v>2018100013183000</x:v>
      </x:c>
      <x:c r="B487" s="33" t="str">
        <x:v>MINARM / SSF / DSSF Toulon - Direction du service de soutien de la flotte de Toulon - DSSF Toulon</x:v>
      </x:c>
      <x:c r="C487" s="33" t="str">
        <x:v>LE LITTORAL</x:v>
      </x:c>
      <x:c r="D487" s="33" t="str">
        <x:v>M16T20 003 - Accord cadre relatif à la fourniture de matériels de quincaillerie et d'outillage naval. -</x:v>
      </x:c>
      <x:c r="E487" s="33" t="str">
        <x:v>Quincaillerie.</x:v>
      </x:c>
      <x:c r="F487" s="36" t="n">
        <x:v>21590</x:v>
      </x:c>
      <x:c r="G487" s="38" t="n">
        <x:v>43413</x:v>
      </x:c>
      <x:c r="H487" s="38" t="n">
        <x:v>43413</x:v>
      </x:c>
      <x:c r="I487" s="40" t="n">
        <x:v>12</x:v>
      </x:c>
      <x:c r="J487" s="33" t="str">
        <x:v>Marché subséquent</x:v>
      </x:c>
      <x:c r="K487" s="33" t="str">
        <x:v>Appel d'offres ouvert</x:v>
      </x:c>
      <x:c r="L487" s="33" t="str">
        <x:v>Ferme et actualisable</x:v>
      </x:c>
      <x:c r="M487" s="33" t="str">
        <x:v>(83) Var</x:v>
      </x:c>
      <x:c r="N487" s="33" t="str">
        <x:v>Oui</x:v>
      </x:c>
      <x:c r="O487" s="33" t="str">
        <x:v>data.gouv.fr_aife</x:v>
      </x:c>
      <x:c r="P487" s="33" t="str">
        <x:v>2018100013183000</x:v>
      </x:c>
    </x:row>
    <x:row r="488">
      <x:c r="A488" s="33" t="str">
        <x:v>2018150908946100</x:v>
      </x:c>
      <x:c r="B488" s="33" t="str">
        <x:v>MINARM / SGA / SID / ESID Metz - Etablissement du service d'infrastructure de la défense de Metz - ESID Metz</x:v>
      </x:c>
      <x:c r="C488" s="33" t="str">
        <x:v>BELLORINI</x:v>
      </x:c>
      <x:c r="D488" s="33" t="str">
        <x:v>MAROLLES (51) - ERSA - Bât 005 - Amélioration du degré coupe-feu du local TGBT</x:v>
      </x:c>
      <x:c r="E488" s="33" t="str">
        <x:v>Travaux de maçonnerie et de briquetage.</x:v>
      </x:c>
      <x:c r="F488" s="36" t="n">
        <x:v>24872</x:v>
      </x:c>
      <x:c r="G488" s="38" t="n">
        <x:v>43414</x:v>
      </x:c>
      <x:c r="H488" s="38" t="n">
        <x:v>43414</x:v>
      </x:c>
      <x:c r="I488" s="40" t="n">
        <x:v>6</x:v>
      </x:c>
      <x:c r="J488" s="33" t="str">
        <x:v>Marché</x:v>
      </x:c>
      <x:c r="K488" s="33" t="str">
        <x:v>Appel d'offres ouvert</x:v>
      </x:c>
      <x:c r="L488" s="33" t="str">
        <x:v>Ferme</x:v>
      </x:c>
      <x:c r="M488" s="33" t="str">
        <x:v>(51) Marne</x:v>
      </x:c>
      <x:c r="N488" s="33" t="str">
        <x:v>Oui</x:v>
      </x:c>
      <x:c r="O488" s="33" t="str">
        <x:v>data.gouv.fr_aife</x:v>
      </x:c>
      <x:c r="P488" s="33" t="str">
        <x:v>2018150908946100</x:v>
      </x:c>
    </x:row>
    <x:row r="489">
      <x:c r="A489" s="33" t="str">
        <x:v>2018100013181500</x:v>
      </x:c>
      <x:c r="B489" s="33" t="str">
        <x:v>MINARM / SGA / SID / ESID Bordeaux - Etablissement du service d'infrastructure de la défense de Bordeaux - ESID Bordeaux</x:v>
      </x:c>
      <x:c r="C489" s="33" t="str">
        <x:v>ETEN ENVIRONNEMENT</x:v>
      </x:c>
      <x:c r="D489" s="33" t="str">
        <x:v>Étude faunistique et floristique pour l'ensemble des sites Camp Aspirant ZIRNHELD, Quartier Chef de Bataillon Damien BOITEUX et Quartier chef d'Escadron de ROSE</x:v>
      </x:c>
      <x:c r="E489" s="33" t="str">
        <x:v>Services d'ingénierie.</x:v>
      </x:c>
      <x:c r="F489" s="36" t="n">
        <x:v>9590</x:v>
      </x:c>
      <x:c r="G489" s="38" t="n">
        <x:v>43416</x:v>
      </x:c>
      <x:c r="H489" s="38" t="n">
        <x:v>43416</x:v>
      </x:c>
      <x:c r="I489" s="40" t="n">
        <x:v>13</x:v>
      </x:c>
      <x:c r="J489" s="33" t="str">
        <x:v>Marché</x:v>
      </x:c>
      <x:c r="K489" s="33" t="str">
        <x:v>Procédure adaptée</x:v>
      </x:c>
      <x:c r="L489" s="33" t="str">
        <x:v>Révisable</x:v>
      </x:c>
      <x:c r="M489" s="33" t="str">
        <x:v>(64) Pyrénées-Atlantiques</x:v>
      </x:c>
      <x:c r="N489" s="33" t="str">
        <x:v>Oui</x:v>
      </x:c>
      <x:c r="O489" s="33" t="str">
        <x:v>data.gouv.fr_aife</x:v>
      </x:c>
      <x:c r="P489" s="33" t="str">
        <x:v>2018100013181500</x:v>
      </x:c>
    </x:row>
    <x:row r="490">
      <x:c r="A490" s="33" t="str">
        <x:v>2018150906188200</x:v>
      </x:c>
      <x:c r="B490" s="33" t="str">
        <x:v>MINARM / SGA / SID / ESID Rennes - Etablissement du service d'infrastructure de la défense de Rennes - ESID Rennes</x:v>
      </x:c>
      <x:c r="C490" s="33" t="str">
        <x:v>FLERS ERGONOMIE METALLERIE</x:v>
      </x:c>
      <x:c r="D490" s="33" t="str">
        <x:v>CHERBOURG (50) - Port militaire - Réalisation d'un dispositif d'accueil INES-PN du GE pour retrait SNA type "RUBIS" - Sérrurerie/métallerie</x:v>
      </x:c>
      <x:c r="E490" s="33" t="str">
        <x:v>Travaux de parachèvement de bâtiment.</x:v>
      </x:c>
      <x:c r="F490" s="36" t="n">
        <x:v>43630</x:v>
      </x:c>
      <x:c r="G490" s="38" t="n">
        <x:v>43416</x:v>
      </x:c>
      <x:c r="H490" s="38" t="n">
        <x:v>43416</x:v>
      </x:c>
      <x:c r="I490" s="40" t="n">
        <x:v>5</x:v>
      </x:c>
      <x:c r="J490" s="33" t="str">
        <x:v>Marché</x:v>
      </x:c>
      <x:c r="K490" s="33" t="str">
        <x:v>Appel d'offres ouvert</x:v>
      </x:c>
      <x:c r="L490" s="33" t="str">
        <x:v>Révisable</x:v>
      </x:c>
      <x:c r="M490" s="33" t="str">
        <x:v>(50) Manche</x:v>
      </x:c>
      <x:c r="N490" s="33" t="str">
        <x:v>Oui</x:v>
      </x:c>
      <x:c r="O490" s="33" t="str">
        <x:v>data.gouv.fr_aife</x:v>
      </x:c>
      <x:c r="P490" s="33" t="str">
        <x:v>2018150906188200</x:v>
      </x:c>
    </x:row>
    <x:row r="491">
      <x:c r="A491" s="33" t="str">
        <x:v>20182018F4109400</x:v>
      </x:c>
      <x:c r="B491" s="33" t="str">
        <x:v>MINARM / SCA / PFC RBT - Plate-forme commissariat Rambouillet</x:v>
      </x:c>
      <x:c r="C491" s="33" t="str">
        <x:v>EMINENCE</x:v>
      </x:c>
      <x:c r="D491" s="33" t="str">
        <x:v>Fabrication de sous-vêtements techniques climat froid - lot n° 2 - Sous-vêtement technique climat froid 400g/m2 jambes longues - Sous-vêtement technique climat froid 400g/m2 manches longue</x:v>
      </x:c>
      <x:c r="E491" s="33" t="str">
        <x:v>Sous-vêtements.</x:v>
      </x:c>
      <x:c r="F491" s="36" t="n">
        <x:v>18250000</x:v>
      </x:c>
      <x:c r="G491" s="38" t="n">
        <x:v>43416</x:v>
      </x:c>
      <x:c r="H491" s="38" t="n">
        <x:v>43416</x:v>
      </x:c>
      <x:c r="I491" s="40" t="n">
        <x:v>48</x:v>
      </x:c>
      <x:c r="J491" s="33" t="str">
        <x:v>Accord-cadre</x:v>
      </x:c>
      <x:c r="K491" s="33" t="str">
        <x:v>Appel d'offres ouvert</x:v>
      </x:c>
      <x:c r="L491" s="33" t="str"/>
      <x:c r="M491" s="33" t="str">
        <x:v>(78) Yvelines</x:v>
      </x:c>
      <x:c r="N491" s="33" t="str">
        <x:v>Oui</x:v>
      </x:c>
      <x:c r="O491" s="33" t="str">
        <x:v>data.gouv.fr_aife</x:v>
      </x:c>
      <x:c r="P491" s="33" t="str">
        <x:v>20182018F4109400</x:v>
      </x:c>
    </x:row>
    <x:row r="492">
      <x:c r="A492" s="33" t="str">
        <x:v>20182018F4109500</x:v>
      </x:c>
      <x:c r="B492" s="33" t="str">
        <x:v>MINARM / SCA / PFC RBT - Plate-forme commissariat Rambouillet</x:v>
      </x:c>
      <x:c r="C492" s="33" t="str">
        <x:v>LEO MINOR</x:v>
      </x:c>
      <x:c r="D492" s="33" t="str">
        <x:v>Fabrication de sous-vêtements techniques climat froid - lot n° 2 - Sous-vêtement technique climat froid 400g/m2 jambes longues - Sous-vêtement technique climat froid 400g/m2 manches longue</x:v>
      </x:c>
      <x:c r="E492" s="33" t="str">
        <x:v>Sous-vêtements.</x:v>
      </x:c>
      <x:c r="F492" s="36" t="n">
        <x:v>18250000</x:v>
      </x:c>
      <x:c r="G492" s="38" t="n">
        <x:v>43416</x:v>
      </x:c>
      <x:c r="H492" s="38" t="n">
        <x:v>43416</x:v>
      </x:c>
      <x:c r="I492" s="40" t="n">
        <x:v>48</x:v>
      </x:c>
      <x:c r="J492" s="33" t="str">
        <x:v>Accord-cadre</x:v>
      </x:c>
      <x:c r="K492" s="33" t="str">
        <x:v>Appel d'offres ouvert</x:v>
      </x:c>
      <x:c r="L492" s="33" t="str"/>
      <x:c r="M492" s="33" t="str">
        <x:v>(78) Yvelines</x:v>
      </x:c>
      <x:c r="N492" s="33" t="str">
        <x:v>Oui</x:v>
      </x:c>
      <x:c r="O492" s="33" t="str">
        <x:v>data.gouv.fr_aife</x:v>
      </x:c>
      <x:c r="P492" s="33" t="str">
        <x:v>20182018F4109500</x:v>
      </x:c>
    </x:row>
    <x:row r="493">
      <x:c r="A493" s="33" t="str">
        <x:v>2018150910248400</x:v>
      </x:c>
      <x:c r="B493" s="33" t="str">
        <x:v>MINARM / SSF / DSSF Brest - Direction du service de soutien de la flotte de Brest - DSSF Brest</x:v>
      </x:c>
      <x:c r="C493" s="33" t="str">
        <x:v>COMPTOIR GENERAL DES METAUX</x:v>
      </x:c>
      <x:c r="D493" s="33" t="str">
        <x:v>Approvisionnement de matières industrielles, inox, au profit du SLM de Brest</x:v>
      </x:c>
      <x:c r="E493" s="33" t="str">
        <x:v>Pièces pour navires de guerre.</x:v>
      </x:c>
      <x:c r="F493" s="36" t="n">
        <x:v>5200</x:v>
      </x:c>
      <x:c r="G493" s="38" t="n">
        <x:v>43416</x:v>
      </x:c>
      <x:c r="H493" s="38" t="n">
        <x:v>43416</x:v>
      </x:c>
      <x:c r="I493" s="40" t="n">
        <x:v>2</x:v>
      </x:c>
      <x:c r="J493" s="33" t="str">
        <x:v>Marché</x:v>
      </x:c>
      <x:c r="K493" s="33" t="str">
        <x:v>Procédure adaptée</x:v>
      </x:c>
      <x:c r="L493" s="33" t="str">
        <x:v>Ferme</x:v>
      </x:c>
      <x:c r="M493" s="33" t="str">
        <x:v>(29) Finistère</x:v>
      </x:c>
      <x:c r="N493" s="33" t="str">
        <x:v>Oui</x:v>
      </x:c>
      <x:c r="O493" s="33" t="str">
        <x:v>data.gouv.fr_aife</x:v>
      </x:c>
      <x:c r="P493" s="33" t="str">
        <x:v>2018150910248400</x:v>
      </x:c>
    </x:row>
    <x:row r="494">
      <x:c r="A494" s="33" t="str">
        <x:v>2018150906921000</x:v>
      </x:c>
      <x:c r="B494" s="33" t="str">
        <x:v>MINARM / SGA / SID / ESID Lyon - Etablissement du service d'infrastructure de la défense de Lyon - ESID Lyon</x:v>
      </x:c>
      <x:c r="C494" s="33" t="str">
        <x:v>BERTHOULY</x:v>
      </x:c>
      <x:c r="D494" s="33" t="str">
        <x:v>Travaux de rénovation complète (maçonnerie, réseaux humides et secs) pour mise aux normes environnementales de 50 courettes du chenil situé sur la BA 125 - VRD</x:v>
      </x:c>
      <x:c r="E494" s="33" t="str">
        <x:v>Travaux de gros œuvre.</x:v>
      </x:c>
      <x:c r="F494" s="36" t="n">
        <x:v>313930</x:v>
      </x:c>
      <x:c r="G494" s="38" t="n">
        <x:v>43416</x:v>
      </x:c>
      <x:c r="H494" s="38" t="n">
        <x:v>43416</x:v>
      </x:c>
      <x:c r="I494" s="40" t="n">
        <x:v>8</x:v>
      </x:c>
      <x:c r="J494" s="33" t="str">
        <x:v>Marché</x:v>
      </x:c>
      <x:c r="K494" s="33" t="str">
        <x:v>Procédure adaptée</x:v>
      </x:c>
      <x:c r="L494" s="33" t="str">
        <x:v>Ferme et actualisable</x:v>
      </x:c>
      <x:c r="M494" s="33" t="str">
        <x:v>(13) Bouches-du-Rhône</x:v>
      </x:c>
      <x:c r="N494" s="33" t="str">
        <x:v>Oui</x:v>
      </x:c>
      <x:c r="O494" s="33" t="str">
        <x:v>data.gouv.fr_aife</x:v>
      </x:c>
      <x:c r="P494" s="33" t="str">
        <x:v>2018150906921000</x:v>
      </x:c>
    </x:row>
    <x:row r="495">
      <x:c r="A495" s="33" t="str">
        <x:v>2018130013780700</x:v>
      </x:c>
      <x:c r="B495" s="33" t="str">
        <x:v>MINARM / SGA / SID / ESID Metz - Etablissement du service d'infrastructure de la défense de Metz - ESID Metz</x:v>
      </x:c>
      <x:c r="C495" s="33" t="str">
        <x:v>SNAJ</x:v>
      </x:c>
      <x:c r="D495" s="33" t="str">
        <x:v>Accord-cadre à bons de commande sur bordereau de prix, pour l'exécution des travaux d'entretien, de réparation et d'aménagement, dans les immeubles militaires, dépendant de l'Unité de soutien de l'infrastructure de la défense de Châlons en Champagne - T...</x:v>
      </x:c>
      <x:c r="E495" s="33" t="str">
        <x:v>Services de voirie.</x:v>
      </x:c>
      <x:c r="F495" s="36" t="n">
        <x:v>66666</x:v>
      </x:c>
      <x:c r="G495" s="38" t="n">
        <x:v>43416</x:v>
      </x:c>
      <x:c r="H495" s="38" t="n">
        <x:v>43416</x:v>
      </x:c>
      <x:c r="I495" s="40" t="n">
        <x:v>26</x:v>
      </x:c>
      <x:c r="J495" s="33" t="str"/>
      <x:c r="K495" s="33" t="str"/>
      <x:c r="L495" s="33" t="str"/>
      <x:c r="M495" s="33" t="str">
        <x:v>(57) Moselle</x:v>
      </x:c>
      <x:c r="N495" s="33" t="str">
        <x:v>Oui</x:v>
      </x:c>
      <x:c r="O495" s="33" t="str">
        <x:v>data.gouv.fr_aife</x:v>
      </x:c>
      <x:c r="P495" s="33" t="str">
        <x:v>2018130013780700</x:v>
      </x:c>
    </x:row>
    <x:row r="496">
      <x:c r="A496" s="33" t="str">
        <x:v>2018130013786400</x:v>
      </x:c>
      <x:c r="B496" s="33" t="str">
        <x:v>MINARM / SGA / SID / ESID Metz - Etablissement du service d'infrastructure de la défense de Metz - ESID Metz</x:v>
      </x:c>
      <x:c r="C496" s="33" t="str">
        <x:v>ENTREPRISE EVRARD</x:v>
      </x:c>
      <x:c r="D496" s="33" t="str">
        <x:v>Accord-cadre à bons de commande sur bordereau de prix, pour l'exécution des travaux d'entretien, de réparation et d'aménagement, dans les immeubles militaires, dépendant de l'Unité de soutien de l'infrastructure de la défense de Châlons en Champagne - T...</x:v>
      </x:c>
      <x:c r="E496" s="33" t="str">
        <x:v>Travaux de menuiserie et de charpenterie.</x:v>
      </x:c>
      <x:c r="F496" s="36" t="n">
        <x:v>66666</x:v>
      </x:c>
      <x:c r="G496" s="38" t="n">
        <x:v>43416</x:v>
      </x:c>
      <x:c r="H496" s="38" t="n">
        <x:v>43416</x:v>
      </x:c>
      <x:c r="I496" s="40" t="n">
        <x:v>26</x:v>
      </x:c>
      <x:c r="J496" s="33" t="str"/>
      <x:c r="K496" s="33" t="str"/>
      <x:c r="L496" s="33" t="str"/>
      <x:c r="M496" s="33" t="str">
        <x:v>(57) Moselle</x:v>
      </x:c>
      <x:c r="N496" s="33" t="str">
        <x:v>Oui</x:v>
      </x:c>
      <x:c r="O496" s="33" t="str">
        <x:v>data.gouv.fr_aife</x:v>
      </x:c>
      <x:c r="P496" s="33" t="str">
        <x:v>2018130013786400</x:v>
      </x:c>
    </x:row>
    <x:row r="497">
      <x:c r="A497" s="33" t="str">
        <x:v>2018150908357100</x:v>
      </x:c>
      <x:c r="B497" s="33" t="str">
        <x:v>MINARM / SCA / PFC Sud-Est - Plate-forme commissariat Sud-Est (Lyon)</x:v>
      </x:c>
      <x:c r="C497" s="33" t="str">
        <x:v>SARL ATELIER SERVICE BUREAU</x:v>
      </x:c>
      <x:c r="D497" s="33" t="str">
        <x:v>La fourniture de machines-outils pour la reproduction et la destruction de documents au profit du Ministère des Armées - 1 piqueuse à fil en bobine 1 tête</x:v>
      </x:c>
      <x:c r="E497" s="33" t="str">
        <x:v>Machines-outils à usage spécifique.</x:v>
      </x:c>
      <x:c r="F497" s="36" t="n">
        <x:v>13217</x:v>
      </x:c>
      <x:c r="G497" s="38" t="n">
        <x:v>43416</x:v>
      </x:c>
      <x:c r="H497" s="38" t="n">
        <x:v>43416</x:v>
      </x:c>
      <x:c r="I497" s="40" t="n">
        <x:v>12</x:v>
      </x:c>
      <x:c r="J497" s="33" t="str">
        <x:v>Marché</x:v>
      </x:c>
      <x:c r="K497" s="33" t="str">
        <x:v>Procédure adaptée</x:v>
      </x:c>
      <x:c r="L497" s="33" t="str">
        <x:v>Ferme</x:v>
      </x:c>
      <x:c r="M497" s="33" t="str">
        <x:v>(33) Gironde</x:v>
      </x:c>
      <x:c r="N497" s="33" t="str">
        <x:v>Oui</x:v>
      </x:c>
      <x:c r="O497" s="33" t="str">
        <x:v>data.gouv.fr_aife</x:v>
      </x:c>
      <x:c r="P497" s="33" t="str">
        <x:v>2018150908357100</x:v>
      </x:c>
    </x:row>
    <x:row r="498">
      <x:c r="A498" s="33" t="str">
        <x:v>2018150906575900</x:v>
      </x:c>
      <x:c r="B498" s="33" t="str">
        <x:v>MINARM / SGA / SPAC - Service Parisien de Soutien de l'Administration Centrale - SPAC</x:v>
      </x:c>
      <x:c r="C498" s="33" t="str">
        <x:v>AESMA</x:v>
      </x:c>
      <x:c r="D498" s="33" t="str">
        <x:v>Etude prospective et stratégique n°2018-18 intitulée : « Iran : évaluation du niveau de pénétration du réseau pasdaran dans lappareil étatique iranien et de son influence sur le processus décisionnel »</x:v>
      </x:c>
      <x:c r="E498" s="33" t="str">
        <x:v>Services de défense.</x:v>
      </x:c>
      <x:c r="F498" s="36" t="n">
        <x:v>41900</x:v>
      </x:c>
      <x:c r="G498" s="38" t="n">
        <x:v>43416</x:v>
      </x:c>
      <x:c r="H498" s="38" t="n">
        <x:v>43416</x:v>
      </x:c>
      <x:c r="I498" s="40" t="n">
        <x:v>11</x:v>
      </x:c>
      <x:c r="J498" s="33" t="str">
        <x:v>Marché</x:v>
      </x:c>
      <x:c r="K498" s="33" t="str">
        <x:v>Procédure adaptée</x:v>
      </x:c>
      <x:c r="L498" s="33" t="str">
        <x:v>Ferme et actualisable</x:v>
      </x:c>
      <x:c r="M498" s="33" t="str">
        <x:v>(75) Paris</x:v>
      </x:c>
      <x:c r="N498" s="33" t="str">
        <x:v>Oui</x:v>
      </x:c>
      <x:c r="O498" s="33" t="str">
        <x:v>data.gouv.fr_aife</x:v>
      </x:c>
      <x:c r="P498" s="33" t="str">
        <x:v>2018150906575900</x:v>
      </x:c>
    </x:row>
    <x:row r="499">
      <x:c r="A499" s="33" t="str">
        <x:v>20182018F0007200</x:v>
      </x:c>
      <x:c r="B499" s="33" t="str">
        <x:v>MINARM / SCA / PFC RBT - Plate-forme commissariat Rambouillet</x:v>
      </x:c>
      <x:c r="C499" s="33" t="str">
        <x:v>BONNETERIE D'ARMOR</x:v>
      </x:c>
      <x:c r="D499" s="33" t="str">
        <x:v>Fabrication de sous-vêtements techniques - lot n° 3 - - Sous-vêtement technique climat froid 600g/m2 manches longue</x:v>
      </x:c>
      <x:c r="E499" s="33" t="str">
        <x:v>Sous-vêtements.</x:v>
      </x:c>
      <x:c r="F499" s="36" t="n">
        <x:v>518000</x:v>
      </x:c>
      <x:c r="G499" s="38" t="n">
        <x:v>43416</x:v>
      </x:c>
      <x:c r="H499" s="38" t="n">
        <x:v>43416</x:v>
      </x:c>
      <x:c r="I499" s="40" t="n">
        <x:v>48</x:v>
      </x:c>
      <x:c r="J499" s="33" t="str">
        <x:v>Accord-cadre</x:v>
      </x:c>
      <x:c r="K499" s="33" t="str">
        <x:v>Appel d'offres ouvert</x:v>
      </x:c>
      <x:c r="L499" s="33" t="str">
        <x:v>Révisable</x:v>
      </x:c>
      <x:c r="M499" s="33" t="str">
        <x:v>(78) Yvelines</x:v>
      </x:c>
      <x:c r="N499" s="33" t="str">
        <x:v>Oui</x:v>
      </x:c>
      <x:c r="O499" s="33" t="str">
        <x:v>data.gouv.fr_aife</x:v>
      </x:c>
      <x:c r="P499" s="33" t="str">
        <x:v>20182018F0007200</x:v>
      </x:c>
    </x:row>
    <x:row r="500">
      <x:c r="A500" s="33" t="str">
        <x:v>20182018F4106200</x:v>
      </x:c>
      <x:c r="B500" s="33" t="str">
        <x:v>MINARM / SCA / PFC RBT - Plate-forme commissariat Rambouillet</x:v>
      </x:c>
      <x:c r="C500" s="33" t="str">
        <x:v>LEO MINOR</x:v>
      </x:c>
      <x:c r="D500" s="33" t="str">
        <x:v>Fabrication de sous vêtements techniques climat froid -- lot n° 1 - Sous-vêtement technique climat froid 200g/m2 jambes longues - Sous-vêtement technique climat froid 200g/m2 manches longues</x:v>
      </x:c>
      <x:c r="E500" s="33" t="str">
        <x:v>Sous-vêtements.</x:v>
      </x:c>
      <x:c r="F500" s="36" t="n">
        <x:v>15000000</x:v>
      </x:c>
      <x:c r="G500" s="38" t="n">
        <x:v>43416</x:v>
      </x:c>
      <x:c r="H500" s="38" t="n">
        <x:v>43416</x:v>
      </x:c>
      <x:c r="I500" s="40" t="n">
        <x:v>48</x:v>
      </x:c>
      <x:c r="J500" s="33" t="str">
        <x:v>Accord-cadre</x:v>
      </x:c>
      <x:c r="K500" s="33" t="str">
        <x:v>Appel d'offres ouvert</x:v>
      </x:c>
      <x:c r="L500" s="33" t="str"/>
      <x:c r="M500" s="33" t="str">
        <x:v>(78) Yvelines</x:v>
      </x:c>
      <x:c r="N500" s="33" t="str">
        <x:v>Oui</x:v>
      </x:c>
      <x:c r="O500" s="33" t="str">
        <x:v>data.gouv.fr_aife</x:v>
      </x:c>
      <x:c r="P500" s="33" t="str">
        <x:v>20182018F4106200</x:v>
      </x:c>
    </x:row>
    <x:row r="501">
      <x:c r="A501" s="33" t="str">
        <x:v>2018130013912100</x:v>
      </x:c>
      <x:c r="B501" s="33" t="str">
        <x:v>MINARM / SGA / SID / ESID Rennes - Etablissement du service d'infrastructure de la défense de Rennes - ESID Rennes</x:v>
      </x:c>
      <x:c r="C501" s="33" t="str">
        <x:v>EIFFAGE CONSTRUCTION CENTRE</x:v>
      </x:c>
      <x:c r="D501" s="33" t="str">
        <x:v>Base de Défense Bourges-Avord (18) - Accord cadre à bon de commande pour les Travaux dentretien, et daménagements des ouvrages de maçonnerie sur les sites militaires. - Centre de Transmission de la Marine de Rosnay (36), 12e Base de Soutien du Matéri</x:v>
      </x:c>
      <x:c r="E501" s="33" t="str">
        <x:v>Travaux de maçonnerie et de briquetage.</x:v>
      </x:c>
      <x:c r="F501" s="36" t="n">
        <x:v>800000</x:v>
      </x:c>
      <x:c r="G501" s="38" t="n">
        <x:v>43416</x:v>
      </x:c>
      <x:c r="H501" s="38" t="n">
        <x:v>43416</x:v>
      </x:c>
      <x:c r="I501" s="40" t="n">
        <x:v>48</x:v>
      </x:c>
      <x:c r="J501" s="33" t="str">
        <x:v>Accord-cadre</x:v>
      </x:c>
      <x:c r="K501" s="33" t="str">
        <x:v>Appel d'offres ouvert</x:v>
      </x:c>
      <x:c r="L501" s="33" t="str">
        <x:v>Révisable</x:v>
      </x:c>
      <x:c r="M501" s="33" t="str">
        <x:v>(36) Indre</x:v>
      </x:c>
      <x:c r="N501" s="33" t="str">
        <x:v>Oui</x:v>
      </x:c>
      <x:c r="O501" s="33" t="str">
        <x:v>data.gouv.fr_aife</x:v>
      </x:c>
      <x:c r="P501" s="33" t="str">
        <x:v>2018130013912100</x:v>
      </x:c>
    </x:row>
    <x:row r="502">
      <x:c r="A502" s="33" t="str">
        <x:v>2018130013777600</x:v>
      </x:c>
      <x:c r="B502" s="33" t="str">
        <x:v>MINARM / SGA / SID / ESID Metz - Etablissement du service d'infrastructure de la défense de Metz - ESID Metz</x:v>
      </x:c>
      <x:c r="C502" s="33" t="str">
        <x:v>SNAJ</x:v>
      </x:c>
      <x:c r="D502" s="33" t="str">
        <x:v>Accord-cadre à bons de commande sur bordereau de prix, pour l'exécution des travaux d'entretien, de réparation et d'aménagement, dans les immeubles militaires, dépendant de l'Unité de soutien de l'infrastructure de la défense de Châlons en Champagne - T...</x:v>
      </x:c>
      <x:c r="E502" s="33" t="str">
        <x:v>Travaux de maçonnerie.</x:v>
      </x:c>
      <x:c r="F502" s="36" t="n">
        <x:v>66666</x:v>
      </x:c>
      <x:c r="G502" s="38" t="n">
        <x:v>43416</x:v>
      </x:c>
      <x:c r="H502" s="38" t="n">
        <x:v>43416</x:v>
      </x:c>
      <x:c r="I502" s="40" t="n">
        <x:v>26</x:v>
      </x:c>
      <x:c r="J502" s="33" t="str"/>
      <x:c r="K502" s="33" t="str"/>
      <x:c r="L502" s="33" t="str"/>
      <x:c r="M502" s="33" t="str">
        <x:v>(57) Moselle</x:v>
      </x:c>
      <x:c r="N502" s="33" t="str">
        <x:v>Oui</x:v>
      </x:c>
      <x:c r="O502" s="33" t="str">
        <x:v>data.gouv.fr_aife</x:v>
      </x:c>
      <x:c r="P502" s="33" t="str">
        <x:v>2018130013777600</x:v>
      </x:c>
    </x:row>
    <x:row r="503">
      <x:c r="A503" s="33" t="str">
        <x:v>20182018F5003300</x:v>
      </x:c>
      <x:c r="B503" s="33" t="str">
        <x:v>"MINARM / SCA / PFC RBT / CIEC - Centre interarmées du soutien équipements commissariat"""""</x:v>
      </x:c>
      <x:c r="C503" s="33" t="str">
        <x:v>LJ IMPORT EXPORT</x:v>
      </x:c>
      <x:c r="D503" s="33" t="str">
        <x:v>PRODUIT D'HYGIENE CORPORELLE A USAGE OPERATIONNEL MILITAIRE - LINGETTE NETTOYANTE POUR LES MAINS ET LINGETTE DESINFECTANTE RFC (ration force contact)</x:v>
      </x:c>
      <x:c r="E503" s="33" t="str">
        <x:v>Dispositifs de stérilisation, de désinfection et d'hygiène.</x:v>
      </x:c>
      <x:c r="F503" s="36" t="n">
        <x:v>1152000</x:v>
      </x:c>
      <x:c r="G503" s="38" t="n">
        <x:v>43416</x:v>
      </x:c>
      <x:c r="H503" s="38" t="n">
        <x:v>43416</x:v>
      </x:c>
      <x:c r="I503" s="40" t="n">
        <x:v>48</x:v>
      </x:c>
      <x:c r="J503" s="33" t="str">
        <x:v>Accord-cadre</x:v>
      </x:c>
      <x:c r="K503" s="33" t="str">
        <x:v>Appel d'offres restreint</x:v>
      </x:c>
      <x:c r="L503" s="33" t="str">
        <x:v>Révisable</x:v>
      </x:c>
      <x:c r="M503" s="33" t="str">
        <x:v>(49) Maine-et-Loire</x:v>
      </x:c>
      <x:c r="N503" s="33" t="str">
        <x:v>Oui</x:v>
      </x:c>
      <x:c r="O503" s="33" t="str">
        <x:v>data.gouv.fr_aife</x:v>
      </x:c>
      <x:c r="P503" s="33" t="str">
        <x:v>20182018F5003300</x:v>
      </x:c>
    </x:row>
    <x:row r="504">
      <x:c r="A504" s="33" t="str">
        <x:v>20182018F0007100</x:v>
      </x:c>
      <x:c r="B504" s="33" t="str">
        <x:v>MINARM / SCA / PFC RBT - Plate-forme commissariat Rambouillet</x:v>
      </x:c>
      <x:c r="C504" s="33" t="str">
        <x:v>BONNETERIE D'ARMOR</x:v>
      </x:c>
      <x:c r="D504" s="33" t="str">
        <x:v>Fabrication de sous-vêtements techniques climat froid - lot n° 2 - Sous-vêtement technique climat froid 400g/m2 jambes longues - Sous-vêtement technique climat froid 400g/m2 manches longue</x:v>
      </x:c>
      <x:c r="E504" s="33" t="str">
        <x:v>Sous-vêtements.</x:v>
      </x:c>
      <x:c r="F504" s="36" t="n">
        <x:v>18250000</x:v>
      </x:c>
      <x:c r="G504" s="38" t="n">
        <x:v>43416</x:v>
      </x:c>
      <x:c r="H504" s="38" t="n">
        <x:v>43416</x:v>
      </x:c>
      <x:c r="I504" s="40" t="n">
        <x:v>48</x:v>
      </x:c>
      <x:c r="J504" s="33" t="str">
        <x:v>Accord-cadre</x:v>
      </x:c>
      <x:c r="K504" s="33" t="str">
        <x:v>Appel d'offres ouvert</x:v>
      </x:c>
      <x:c r="L504" s="33" t="str"/>
      <x:c r="M504" s="33" t="str">
        <x:v>(78) Yvelines</x:v>
      </x:c>
      <x:c r="N504" s="33" t="str">
        <x:v>Oui</x:v>
      </x:c>
      <x:c r="O504" s="33" t="str">
        <x:v>data.gouv.fr_aife</x:v>
      </x:c>
      <x:c r="P504" s="33" t="str">
        <x:v>20182018F0007100</x:v>
      </x:c>
    </x:row>
    <x:row r="505">
      <x:c r="A505" s="33" t="str">
        <x:v>2018100013150100</x:v>
      </x:c>
      <x:c r="B505" s="33" t="str">
        <x:v>MINARM / SGA / SID / ESID BREST - Etablissement du service d'infrastructure de la défense de BREST - ESID Brest</x:v>
      </x:c>
      <x:c r="C505" s="33" t="str">
        <x:v>HYDRACOS</x:v>
      </x:c>
      <x:c r="D505" s="33" t="str">
        <x:v>marché subséquent N°3243 à l'Accord-Cadre à Marchés Subséquents pour la réalisation de détections non intrusives et de géo référencement des réseaux enterrés dans les départements 22, 29 et 56. Périmètre de l'ESID de Brest. - BREST - Dépô</x:v>
      </x:c>
      <x:c r="E505" s="33" t="str">
        <x:v>Services topographiques.</x:v>
      </x:c>
      <x:c r="F505" s="36" t="n">
        <x:v>21525</x:v>
      </x:c>
      <x:c r="G505" s="38" t="n">
        <x:v>43416</x:v>
      </x:c>
      <x:c r="H505" s="38" t="n">
        <x:v>43416</x:v>
      </x:c>
      <x:c r="I505" s="40" t="n">
        <x:v>6</x:v>
      </x:c>
      <x:c r="J505" s="33" t="str">
        <x:v>Marché subséquent</x:v>
      </x:c>
      <x:c r="K505" s="33" t="str">
        <x:v>Appel d'offres ouvert</x:v>
      </x:c>
      <x:c r="L505" s="33" t="str">
        <x:v>Révisable</x:v>
      </x:c>
      <x:c r="M505" s="33" t="str">
        <x:v>(29) Finistère</x:v>
      </x:c>
      <x:c r="N505" s="33" t="str">
        <x:v>Oui</x:v>
      </x:c>
      <x:c r="O505" s="33" t="str">
        <x:v>data.gouv.fr_aife</x:v>
      </x:c>
      <x:c r="P505" s="33" t="str">
        <x:v>2018100013150100</x:v>
      </x:c>
    </x:row>
    <x:row r="506">
      <x:c r="A506" s="33" t="str">
        <x:v>2018150907834100</x:v>
      </x:c>
      <x:c r="B506" s="33" t="str">
        <x:v>MINARM / SSA / DAPSA - Direction des Approvisionnements en produits de santé des armées</x:v>
      </x:c>
      <x:c r="C506" s="33" t="str">
        <x:v>CONNECTMED</x:v>
      </x:c>
      <x:c r="D506" s="33" t="str">
        <x:v>Acquisition de moniteurs hyperbares et fourniture d'accessoires associés au profit de l'HIA Sainte Anne</x:v>
      </x:c>
      <x:c r="E506" s="33" t="str">
        <x:v>Moniteurs.</x:v>
      </x:c>
      <x:c r="F506" s="36" t="n">
        <x:v>31158</x:v>
      </x:c>
      <x:c r="G506" s="38" t="n">
        <x:v>43416</x:v>
      </x:c>
      <x:c r="H506" s="38" t="n">
        <x:v>43416</x:v>
      </x:c>
      <x:c r="I506" s="40" t="n">
        <x:v>6</x:v>
      </x:c>
      <x:c r="J506" s="33" t="str">
        <x:v>Marché</x:v>
      </x:c>
      <x:c r="K506" s="33" t="str">
        <x:v>Procédure adaptée</x:v>
      </x:c>
      <x:c r="L506" s="33" t="str">
        <x:v>Ferme</x:v>
      </x:c>
      <x:c r="M506" s="33" t="str">
        <x:v>(83) Var</x:v>
      </x:c>
      <x:c r="N506" s="33" t="str">
        <x:v>Oui</x:v>
      </x:c>
      <x:c r="O506" s="33" t="str">
        <x:v>data.gouv.fr_aife</x:v>
      </x:c>
      <x:c r="P506" s="33" t="str">
        <x:v>2018150907834100</x:v>
      </x:c>
    </x:row>
    <x:row r="507">
      <x:c r="A507" s="33" t="str">
        <x:v>2018130013782400</x:v>
      </x:c>
      <x:c r="B507" s="33" t="str">
        <x:v>MINARM / SGA / SID / ESID Metz - Etablissement du service d'infrastructure de la défense de Metz - ESID Metz</x:v>
      </x:c>
      <x:c r="C507" s="33" t="str">
        <x:v>SNAJ</x:v>
      </x:c>
      <x:c r="D507" s="33" t="str">
        <x:v>Accord-cadre à bons de commande sur bordereau de prix, pour l'exécution des travaux d'entretien, de réparation et d'aménagement, dans les immeubles militaires, dépendant de l'Unité de soutien de l'infrastructure de la défense de Châlons en Champagne - T...</x:v>
      </x:c>
      <x:c r="E507" s="33" t="str">
        <x:v>Travaux de couverture.</x:v>
      </x:c>
      <x:c r="F507" s="36" t="n">
        <x:v>66666</x:v>
      </x:c>
      <x:c r="G507" s="38" t="n">
        <x:v>43416</x:v>
      </x:c>
      <x:c r="H507" s="38" t="n">
        <x:v>43416</x:v>
      </x:c>
      <x:c r="I507" s="40" t="n">
        <x:v>26</x:v>
      </x:c>
      <x:c r="J507" s="33" t="str"/>
      <x:c r="K507" s="33" t="str"/>
      <x:c r="L507" s="33" t="str"/>
      <x:c r="M507" s="33" t="str">
        <x:v>(57) Moselle</x:v>
      </x:c>
      <x:c r="N507" s="33" t="str">
        <x:v>Oui</x:v>
      </x:c>
      <x:c r="O507" s="33" t="str">
        <x:v>data.gouv.fr_aife</x:v>
      </x:c>
      <x:c r="P507" s="33" t="str">
        <x:v>2018130013782400</x:v>
      </x:c>
    </x:row>
    <x:row r="508">
      <x:c r="A508" s="33" t="str">
        <x:v>2018150908358800</x:v>
      </x:c>
      <x:c r="B508" s="33" t="str">
        <x:v>MINARM / SCA / PFC Sud-Est - Plate-forme commissariat Sud-Est (Lyon)</x:v>
      </x:c>
      <x:c r="C508" s="33" t="str">
        <x:v>SARL ATELIER SERVICE BUREAU</x:v>
      </x:c>
      <x:c r="D508" s="33" t="str">
        <x:v>La fourniture de machines-outils pour la reproduction et la destruction de documents au profit du Ministère des Armées - 1 destructeur de documents</x:v>
      </x:c>
      <x:c r="E508" s="33" t="str">
        <x:v>Machines-outils à usage spécifique.</x:v>
      </x:c>
      <x:c r="F508" s="36" t="n">
        <x:v>26664</x:v>
      </x:c>
      <x:c r="G508" s="38" t="n">
        <x:v>43416</x:v>
      </x:c>
      <x:c r="H508" s="38" t="n">
        <x:v>43416</x:v>
      </x:c>
      <x:c r="I508" s="40" t="n">
        <x:v>12</x:v>
      </x:c>
      <x:c r="J508" s="33" t="str">
        <x:v>Marché</x:v>
      </x:c>
      <x:c r="K508" s="33" t="str">
        <x:v>Procédure adaptée</x:v>
      </x:c>
      <x:c r="L508" s="33" t="str">
        <x:v>Ferme</x:v>
      </x:c>
      <x:c r="M508" s="33" t="str">
        <x:v>(33) Gironde</x:v>
      </x:c>
      <x:c r="N508" s="33" t="str">
        <x:v>Oui</x:v>
      </x:c>
      <x:c r="O508" s="33" t="str">
        <x:v>data.gouv.fr_aife</x:v>
      </x:c>
      <x:c r="P508" s="33" t="str">
        <x:v>2018150908358800</x:v>
      </x:c>
    </x:row>
    <x:row r="509">
      <x:c r="A509" s="33" t="str">
        <x:v>20182018F0004300</x:v>
      </x:c>
      <x:c r="B509" s="33" t="str">
        <x:v>MINARM / SCA / PFC RBT - Plate-forme commissariat Rambouillet</x:v>
      </x:c>
      <x:c r="C509" s="33" t="str">
        <x:v>EMINENCE</x:v>
      </x:c>
      <x:c r="D509" s="33" t="str">
        <x:v>Fabrication de sous vêtements techniques climat froid -- lot n° 1 - Sous-vêtement technique climat froid 200g/m2 jambes longues - Sous-vêtement technique climat froid 200g/m2 manches longues</x:v>
      </x:c>
      <x:c r="E509" s="33" t="str">
        <x:v>Sous-vêtements.</x:v>
      </x:c>
      <x:c r="F509" s="36" t="n">
        <x:v>15000000</x:v>
      </x:c>
      <x:c r="G509" s="38" t="n">
        <x:v>43416</x:v>
      </x:c>
      <x:c r="H509" s="38" t="n">
        <x:v>43416</x:v>
      </x:c>
      <x:c r="I509" s="40" t="n">
        <x:v>48</x:v>
      </x:c>
      <x:c r="J509" s="33" t="str">
        <x:v>Accord-cadre</x:v>
      </x:c>
      <x:c r="K509" s="33" t="str">
        <x:v>Appel d'offres ouvert</x:v>
      </x:c>
      <x:c r="L509" s="33" t="str"/>
      <x:c r="M509" s="33" t="str">
        <x:v>(78) Yvelines</x:v>
      </x:c>
      <x:c r="N509" s="33" t="str">
        <x:v>Oui</x:v>
      </x:c>
      <x:c r="O509" s="33" t="str">
        <x:v>data.gouv.fr_aife</x:v>
      </x:c>
      <x:c r="P509" s="33" t="str">
        <x:v>20182018F0004300</x:v>
      </x:c>
    </x:row>
    <x:row r="510">
      <x:c r="A510" s="33" t="str">
        <x:v>20182018F4106300</x:v>
      </x:c>
      <x:c r="B510" s="33" t="str">
        <x:v>MINARM / SCA / PFC RBT - Plate-forme commissariat Rambouillet</x:v>
      </x:c>
      <x:c r="C510" s="33" t="str">
        <x:v>BONNETERIE D'ARMOR</x:v>
      </x:c>
      <x:c r="D510" s="33" t="str">
        <x:v>Fabrication de sous vêtements techniques climat froid -- lot n° 1 - Sous-vêtement technique climat froid 200g/m2 jambes longues - Sous-vêtement technique climat froid 200g/m2 manches longues</x:v>
      </x:c>
      <x:c r="E510" s="33" t="str">
        <x:v>Sous-vêtements.</x:v>
      </x:c>
      <x:c r="F510" s="36" t="n">
        <x:v>15000000</x:v>
      </x:c>
      <x:c r="G510" s="38" t="n">
        <x:v>43416</x:v>
      </x:c>
      <x:c r="H510" s="38" t="n">
        <x:v>43416</x:v>
      </x:c>
      <x:c r="I510" s="40" t="n">
        <x:v>48</x:v>
      </x:c>
      <x:c r="J510" s="33" t="str">
        <x:v>Accord-cadre</x:v>
      </x:c>
      <x:c r="K510" s="33" t="str">
        <x:v>Appel d'offres ouvert</x:v>
      </x:c>
      <x:c r="L510" s="33" t="str"/>
      <x:c r="M510" s="33" t="str">
        <x:v>(78) Yvelines</x:v>
      </x:c>
      <x:c r="N510" s="33" t="str">
        <x:v>Oui</x:v>
      </x:c>
      <x:c r="O510" s="33" t="str">
        <x:v>data.gouv.fr_aife</x:v>
      </x:c>
      <x:c r="P510" s="33" t="str">
        <x:v>20182018F4106300</x:v>
      </x:c>
    </x:row>
    <x:row r="511">
      <x:c r="A511" s="33" t="str">
        <x:v>2018130013885100</x:v>
      </x:c>
      <x:c r="B511" s="33" t="str">
        <x:v>MINARM / DGA / DO / S2A / PROD / DA-BA - Division achats - Toulouse/Balma</x:v>
      </x:c>
      <x:c r="C511" s="33" t="str">
        <x:v>AUSCHITZKY</x:v>
      </x:c>
      <x:c r="D511" s="33" t="str">
        <x:v>PHASE MEDO - Fourniture de matériels électriques et électrotechniques courant fort et courant faible pour l'ensemble des centres de la Direction Technique. - Lot unique décomposé comme suit : - - Famille 1 : Accessoires et câblage - - Famille 2 :</x:v>
      </x:c>
      <x:c r="E511" s="33" t="str">
        <x:v>Matériels électriques.</x:v>
      </x:c>
      <x:c r="F511" s="36" t="n">
        <x:v>1456000</x:v>
      </x:c>
      <x:c r="G511" s="38" t="n">
        <x:v>43416</x:v>
      </x:c>
      <x:c r="H511" s="38" t="n">
        <x:v>43416</x:v>
      </x:c>
      <x:c r="I511" s="40" t="n">
        <x:v>60</x:v>
      </x:c>
      <x:c r="J511" s="33" t="str">
        <x:v>Accord-cadre</x:v>
      </x:c>
      <x:c r="K511" s="33" t="str"/>
      <x:c r="L511" s="33" t="str">
        <x:v>Révisable</x:v>
      </x:c>
      <x:c r="M511" s="33" t="str">
        <x:v>(31) Haute-Garonne</x:v>
      </x:c>
      <x:c r="N511" s="33" t="str">
        <x:v>Oui</x:v>
      </x:c>
      <x:c r="O511" s="33" t="str">
        <x:v>data.gouv.fr_aife</x:v>
      </x:c>
      <x:c r="P511" s="33" t="str">
        <x:v>2018130013885100</x:v>
      </x:c>
    </x:row>
    <x:row r="512">
      <x:c r="A512" s="33" t="str">
        <x:v>2018150907833700</x:v>
      </x:c>
      <x:c r="B512" s="33" t="str">
        <x:v>MINARM / SGA / SID / ESID Lyon - Etablissement du service d'infrastructure de la défense de Lyon - ESID Lyon</x:v>
      </x:c>
      <x:c r="C512" s="33" t="str">
        <x:v>SNEF</x:v>
      </x:c>
      <x:c r="D512" s="33" t="str">
        <x:v>18DG027 DGN - NICE(06) - Port de Nice - BGMAR - Villa CEREMA - Transfert des locaux de la brigade de gendarmerie maritime de Nice (Relance du lot n°2 du projet ESID-18-066_067 )</x:v>
      </x:c>
      <x:c r="E512" s="33" t="str">
        <x:v>Travaux de remise en état.</x:v>
      </x:c>
      <x:c r="F512" s="36" t="n">
        <x:v>77838</x:v>
      </x:c>
      <x:c r="G512" s="38" t="n">
        <x:v>43417</x:v>
      </x:c>
      <x:c r="H512" s="38" t="n">
        <x:v>43417</x:v>
      </x:c>
      <x:c r="I512" s="40" t="n">
        <x:v>3</x:v>
      </x:c>
      <x:c r="J512" s="33" t="str">
        <x:v>Marché</x:v>
      </x:c>
      <x:c r="K512" s="33" t="str">
        <x:v>Procédure adaptée</x:v>
      </x:c>
      <x:c r="L512" s="33" t="str">
        <x:v>Ferme et actualisable</x:v>
      </x:c>
      <x:c r="M512" s="33" t="str">
        <x:v>(83) Var</x:v>
      </x:c>
      <x:c r="N512" s="33" t="str">
        <x:v>Oui</x:v>
      </x:c>
      <x:c r="O512" s="33" t="str">
        <x:v>data.gouv.fr_aife</x:v>
      </x:c>
      <x:c r="P512" s="33" t="str">
        <x:v>2018150907833700</x:v>
      </x:c>
    </x:row>
    <x:row r="513">
      <x:c r="A513" s="33" t="str">
        <x:v>2018100013185100</x:v>
      </x:c>
      <x:c r="B513" s="33" t="str">
        <x:v>MINARM / SSF / DSSF Toulon - Direction du service de soutien de la flotte de Toulon - DSSF Toulon</x:v>
      </x:c>
      <x:c r="C513" s="33" t="str">
        <x:v>LE LITTORAL</x:v>
      </x:c>
      <x:c r="D513" s="33" t="str">
        <x:v>Accord cadre N° 2016M16T20015 relatif à l’approvisionnement de fourniture de matériels de mesure et de contrôle nécessaires au maintien en condition opérationnelle (MCO) des Eléments de Force Maritime (EFM) et des Eléments de Force Armées (EFA)</x:v>
      </x:c>
      <x:c r="E513" s="33" t="str">
        <x:v>Pièces pour navires de guerre.</x:v>
      </x:c>
      <x:c r="F513" s="36" t="n">
        <x:v>2936</x:v>
      </x:c>
      <x:c r="G513" s="38" t="n">
        <x:v>43417</x:v>
      </x:c>
      <x:c r="H513" s="38" t="n">
        <x:v>43417</x:v>
      </x:c>
      <x:c r="I513" s="40" t="n">
        <x:v>2</x:v>
      </x:c>
      <x:c r="J513" s="33" t="str">
        <x:v>Marché subséquent</x:v>
      </x:c>
      <x:c r="K513" s="33" t="str">
        <x:v>Appel d'offres ouvert</x:v>
      </x:c>
      <x:c r="L513" s="33" t="str">
        <x:v>Ferme et actualisable</x:v>
      </x:c>
      <x:c r="M513" s="33" t="str">
        <x:v>(83) Var</x:v>
      </x:c>
      <x:c r="N513" s="33" t="str">
        <x:v>Oui</x:v>
      </x:c>
      <x:c r="O513" s="33" t="str">
        <x:v>data.gouv.fr_aife</x:v>
      </x:c>
      <x:c r="P513" s="33" t="str">
        <x:v>2018100013185100</x:v>
      </x:c>
    </x:row>
    <x:row r="514">
      <x:c r="A514" s="33" t="str">
        <x:v>2018120005886000</x:v>
      </x:c>
      <x:c r="B514" s="33" t="str">
        <x:v>MINARM / SSA / DAPSA - Direction des Approvisionnements en produits de santé des armées</x:v>
      </x:c>
      <x:c r="C514" s="33" t="str">
        <x:v>DALKIA</x:v>
      </x:c>
      <x:c r="D514" s="33" t="str">
        <x:v>La conduite, l'exploitation et la maintenance des installations de génie climatique et de plomberie sanitaire (eau froide et eau chaude sanitaire) des établissements militaires de l' îlot Percy à Clamart</x:v>
      </x:c>
      <x:c r="E514" s="33" t="str">
        <x:v>Services de réparation et d'entretien d'installations de bâtiments.</x:v>
      </x:c>
      <x:c r="F514" s="36" t="n">
        <x:v>3577797</x:v>
      </x:c>
      <x:c r="G514" s="38" t="n">
        <x:v>43417</x:v>
      </x:c>
      <x:c r="H514" s="38" t="n">
        <x:v>43417</x:v>
      </x:c>
      <x:c r="I514" s="40" t="n">
        <x:v>48</x:v>
      </x:c>
      <x:c r="J514" s="33" t="str">
        <x:v>Accord-cadre</x:v>
      </x:c>
      <x:c r="K514" s="33" t="str">
        <x:v>Appel d'offres ouvert</x:v>
      </x:c>
      <x:c r="L514" s="33" t="str">
        <x:v>Révisable</x:v>
      </x:c>
      <x:c r="M514" s="33" t="str">
        <x:v>(92) Hauts-de-Seine</x:v>
      </x:c>
      <x:c r="N514" s="33" t="str">
        <x:v>Oui</x:v>
      </x:c>
      <x:c r="O514" s="33" t="str">
        <x:v>data.gouv.fr_aife</x:v>
      </x:c>
      <x:c r="P514" s="33" t="str">
        <x:v>2018120005886000</x:v>
      </x:c>
    </x:row>
    <x:row r="515">
      <x:c r="A515" s="33" t="str">
        <x:v>2018110004395200</x:v>
      </x:c>
      <x:c r="B515" s="33" t="str">
        <x:v>MINARM / SGA / SID / ESID Bordeaux - Etablissement du service d'infrastructure de la défense de Bordeaux - ESID Bordeaux</x:v>
      </x:c>
      <x:c r="C515" s="33" t="str">
        <x:v>BOBION ET JOANIN</x:v>
      </x:c>
      <x:c r="D515" s="33" t="str">
        <x:v>La Rochelle (17) - Marché 2 :construction d'un bâtiment d'archives et de bureaux - 3 lots - 18/006 : lot 1 : Tous corps d'état - 18/007 : lot 2 : génie électrique - 18/008 : lot 3 : génie climatique</x:v>
      </x:c>
      <x:c r="E515" s="33" t="str">
        <x:v>Travaux d'installation de matériel de chauffage, de ventilation et de climatisation.</x:v>
      </x:c>
      <x:c r="F515" s="36" t="n">
        <x:v>1489000</x:v>
      </x:c>
      <x:c r="G515" s="38" t="n">
        <x:v>43417</x:v>
      </x:c>
      <x:c r="H515" s="38" t="n">
        <x:v>43417</x:v>
      </x:c>
      <x:c r="I515" s="40" t="n">
        <x:v>20</x:v>
      </x:c>
      <x:c r="J515" s="33" t="str"/>
      <x:c r="K515" s="33" t="str"/>
      <x:c r="L515" s="33" t="str"/>
      <x:c r="M515" s="33" t="str">
        <x:v>(33) Gironde</x:v>
      </x:c>
      <x:c r="N515" s="33" t="str">
        <x:v>Oui</x:v>
      </x:c>
      <x:c r="O515" s="33" t="str">
        <x:v>data.gouv.fr_aife</x:v>
      </x:c>
      <x:c r="P515" s="33" t="str">
        <x:v>2018110004395200</x:v>
      </x:c>
    </x:row>
    <x:row r="516">
      <x:c r="A516" s="33" t="str">
        <x:v>2018150909062700</x:v>
      </x:c>
      <x:c r="B516" s="33" t="str">
        <x:v>MINARM / SGA / SID / ESID Metz - Etablissement du service d'infrastructure de la défense de Metz - ESID Metz</x:v>
      </x:c>
      <x:c r="C516" s="33" t="str">
        <x:v>CEGELEC LORRAINE ALSACE</x:v>
      </x:c>
      <x:c r="D516" s="33" t="str">
        <x:v>VOSGES (88) – EPINAL – 1er Régiment de Tirailleurs - Bâtiments 0014, 0016, 0017 et 0123 - Transformation de chambres en bureaux</x:v>
      </x:c>
      <x:c r="E516" s="33" t="str">
        <x:v>Travaux de chantier.</x:v>
      </x:c>
      <x:c r="F516" s="36" t="n">
        <x:v>367678</x:v>
      </x:c>
      <x:c r="G516" s="38" t="n">
        <x:v>43417</x:v>
      </x:c>
      <x:c r="H516" s="38" t="n">
        <x:v>43417</x:v>
      </x:c>
      <x:c r="I516" s="40" t="n">
        <x:v>9</x:v>
      </x:c>
      <x:c r="J516" s="33" t="str">
        <x:v>Marché</x:v>
      </x:c>
      <x:c r="K516" s="33" t="str">
        <x:v>Appel d'offres ouvert</x:v>
      </x:c>
      <x:c r="L516" s="33" t="str">
        <x:v>Ferme et actualisable</x:v>
      </x:c>
      <x:c r="M516" s="33" t="str">
        <x:v>(88) Vosges</x:v>
      </x:c>
      <x:c r="N516" s="33" t="str">
        <x:v>Oui</x:v>
      </x:c>
      <x:c r="O516" s="33" t="str">
        <x:v>data.gouv.fr_aife</x:v>
      </x:c>
      <x:c r="P516" s="33" t="str">
        <x:v>2018150909062700</x:v>
      </x:c>
    </x:row>
    <x:row r="517">
      <x:c r="A517" s="33" t="str">
        <x:v>2018100013180500</x:v>
      </x:c>
      <x:c r="B517" s="33" t="str">
        <x:v>MINARM / DIRISI / DIRISI Toulon - Direction Interarmées des Réseaux d'Infrastructure et des Systèmes d' Information - Toulon</x:v>
      </x:c>
      <x:c r="C517" s="33" t="str">
        <x:v>HEWLETT-PACKARD FRANCE</x:v>
      </x:c>
      <x:c r="D517" s="33" t="str">
        <x:v>ce marché a pour objet la maintenance corrective pour une durée de 4 ans des matériels et logiciels des serveurs SOLDE de l'armée de l'air en service au sein du Centre Expert des Ressources Humaines de l'Armée de l'Air (CERHAA). - Il est conclu pour 4</x:v>
      </x:c>
      <x:c r="E517" s="33" t="str">
        <x:v>Services de maintenance des systèmes et services d'assistance.</x:v>
      </x:c>
      <x:c r="F517" s="36" t="n">
        <x:v>33783</x:v>
      </x:c>
      <x:c r="G517" s="38" t="n">
        <x:v>43417</x:v>
      </x:c>
      <x:c r="H517" s="38" t="n">
        <x:v>43417</x:v>
      </x:c>
      <x:c r="I517" s="40" t="n">
        <x:v>48</x:v>
      </x:c>
      <x:c r="J517" s="33" t="str">
        <x:v>Marché</x:v>
      </x:c>
      <x:c r="K517" s="33" t="str"/>
      <x:c r="L517" s="33" t="str">
        <x:v>Ferme</x:v>
      </x:c>
      <x:c r="M517" s="33" t="str">
        <x:v>(37) Indre-et-Loire</x:v>
      </x:c>
      <x:c r="N517" s="33" t="str">
        <x:v>Oui</x:v>
      </x:c>
      <x:c r="O517" s="33" t="str">
        <x:v>data.gouv.fr_aife</x:v>
      </x:c>
      <x:c r="P517" s="33" t="str">
        <x:v>2018100013180500</x:v>
      </x:c>
    </x:row>
    <x:row r="518">
      <x:c r="A518" s="33" t="str">
        <x:v>2018100013179300</x:v>
      </x:c>
      <x:c r="B518" s="33" t="str">
        <x:v>MINARM / SSF / DSSF Toulon - Direction du service de soutien de la flotte de Toulon - DSSF Toulon</x:v>
      </x:c>
      <x:c r="C518" s="33" t="str">
        <x:v>LOGNAV-CM</x:v>
      </x:c>
      <x:c r="D518" s="33" t="str">
        <x:v>AC M15T20 025 relatif à la fourniture de matériels de robinetterie tels que vannes, soupapes, clapets, robinets, détendeurs, valves, raccords, coudes, tubes, tuyaux, colliers, brides, manchons, flexibles et accessoires associés pour les besoins néces</x:v>
      </x:c>
      <x:c r="E518" s="33" t="str">
        <x:v>Pièces pour navires de guerre.</x:v>
      </x:c>
      <x:c r="F518" s="36" t="n">
        <x:v>6581</x:v>
      </x:c>
      <x:c r="G518" s="38" t="n">
        <x:v>43417</x:v>
      </x:c>
      <x:c r="H518" s="38" t="n">
        <x:v>43417</x:v>
      </x:c>
      <x:c r="I518" s="40" t="n">
        <x:v>2</x:v>
      </x:c>
      <x:c r="J518" s="33" t="str">
        <x:v>Marché subséquent</x:v>
      </x:c>
      <x:c r="K518" s="33" t="str">
        <x:v>Appel d'offres ouvert</x:v>
      </x:c>
      <x:c r="L518" s="33" t="str">
        <x:v>Ferme et actualisable</x:v>
      </x:c>
      <x:c r="M518" s="33" t="str">
        <x:v>(83) Var</x:v>
      </x:c>
      <x:c r="N518" s="33" t="str">
        <x:v>Oui</x:v>
      </x:c>
      <x:c r="O518" s="33" t="str">
        <x:v>data.gouv.fr_aife</x:v>
      </x:c>
      <x:c r="P518" s="33" t="str">
        <x:v>2018100013179300</x:v>
      </x:c>
    </x:row>
    <x:row r="519">
      <x:c r="A519" s="33" t="str">
        <x:v>2018110004394300</x:v>
      </x:c>
      <x:c r="B519" s="33" t="str">
        <x:v>MINARM / SGA / SID / ESID Bordeaux - Etablissement du service d'infrastructure de la défense de Bordeaux - ESID Bordeaux</x:v>
      </x:c>
      <x:c r="C519" s="33" t="str">
        <x:v>SNEE</x:v>
      </x:c>
      <x:c r="D519" s="33" t="str">
        <x:v>La Rochelle (17) - Marché 2 :construction d'un bâtiment d'archives et de bureaux - 3 lots - 18/006 : lot 1 : Tous corps d'état - 18/007 : lot 2 : génie électrique- 18/008 : lot 3 : génie climatique</x:v>
      </x:c>
      <x:c r="E519" s="33" t="str"/>
      <x:c r="F519" s="36" t="n">
        <x:v>867000</x:v>
      </x:c>
      <x:c r="G519" s="38" t="n">
        <x:v>43417</x:v>
      </x:c>
      <x:c r="H519" s="38" t="n">
        <x:v>43417</x:v>
      </x:c>
      <x:c r="I519" s="40" t="n">
        <x:v>20</x:v>
      </x:c>
      <x:c r="J519" s="33" t="str"/>
      <x:c r="K519" s="33" t="str"/>
      <x:c r="L519" s="33" t="str"/>
      <x:c r="M519" s="33" t="str">
        <x:v>(33) Gironde</x:v>
      </x:c>
      <x:c r="N519" s="33" t="str">
        <x:v>Oui</x:v>
      </x:c>
      <x:c r="O519" s="33" t="str">
        <x:v>data.gouv.fr_aife</x:v>
      </x:c>
      <x:c r="P519" s="33" t="str">
        <x:v>2018110004394300</x:v>
      </x:c>
    </x:row>
    <x:row r="520">
      <x:c r="A520" s="33" t="str">
        <x:v>2018130013776500</x:v>
      </x:c>
      <x:c r="B520" s="33" t="str">
        <x:v>MINARM / SGA / SID / ESID Metz - Etablissement du service d'infrastructure de la défense de Metz - ESID Metz</x:v>
      </x:c>
      <x:c r="C520" s="33" t="str">
        <x:v>SANTERNE NORD TERTIAIRE</x:v>
      </x:c>
      <x:c r="D520" s="33" t="str">
        <x:v>Accord-cadre à bons de commande sur bordereau de prix, pour l'exécution des travaux d'entretien, de réparation et d'aménagement, dans les immeubles militaires, dépendant de l'Unité de soutien de l'infrastructure de la défense de Châlons en Champagne - T...</x:v>
      </x:c>
      <x:c r="E520" s="33" t="str">
        <x:v>Services de réparation et d'entretien d'installations électriques de bâtiment.</x:v>
      </x:c>
      <x:c r="F520" s="36" t="n">
        <x:v>66666</x:v>
      </x:c>
      <x:c r="G520" s="38" t="n">
        <x:v>43417</x:v>
      </x:c>
      <x:c r="H520" s="38" t="n">
        <x:v>43417</x:v>
      </x:c>
      <x:c r="I520" s="40" t="n">
        <x:v>26</x:v>
      </x:c>
      <x:c r="J520" s="33" t="str"/>
      <x:c r="K520" s="33" t="str"/>
      <x:c r="L520" s="33" t="str"/>
      <x:c r="M520" s="33" t="str">
        <x:v>(57) Moselle</x:v>
      </x:c>
      <x:c r="N520" s="33" t="str">
        <x:v>Oui</x:v>
      </x:c>
      <x:c r="O520" s="33" t="str">
        <x:v>data.gouv.fr_aife</x:v>
      </x:c>
      <x:c r="P520" s="33" t="str">
        <x:v>2018130013776500</x:v>
      </x:c>
    </x:row>
    <x:row r="521">
      <x:c r="A521" s="33" t="str">
        <x:v>2018180005204000</x:v>
      </x:c>
      <x:c r="B521" s="33" t="str">
        <x:v>MINARM / SGA / SID / ESID Metz - Etablissement du service d'infrastructure de la défense de Metz - ESID Metz</x:v>
      </x:c>
      <x:c r="C521" s="33" t="str">
        <x:v>SUEZ RR IWS REMEDIATION FRANCE</x:v>
      </x:c>
      <x:c r="D521" s="33" t="str">
        <x:v>SUIPPES (51) - Immeuble 510559006W - Quartier FERRIE - 40E RA - Bât 004 - Stand de tir B6 - Purge profonde de la butte de tir, évacuation du sable et remplacement des plaques de protection. - MOURMELOn (51) - Zone 7 - CENTIAL - Stand de tir A12 - Evacuati</x:v>
      </x:c>
      <x:c r="E521" s="33" t="str">
        <x:v>Travaux de réfection.</x:v>
      </x:c>
      <x:c r="F521" s="36" t="n">
        <x:v>214223</x:v>
      </x:c>
      <x:c r="G521" s="38" t="n">
        <x:v>43417</x:v>
      </x:c>
      <x:c r="H521" s="38" t="n">
        <x:v>43417</x:v>
      </x:c>
      <x:c r="I521" s="40" t="n">
        <x:v>14</x:v>
      </x:c>
      <x:c r="J521" s="33" t="str">
        <x:v>Marché</x:v>
      </x:c>
      <x:c r="K521" s="33" t="str">
        <x:v>Appel d'offres ouvert</x:v>
      </x:c>
      <x:c r="L521" s="33" t="str">
        <x:v>Ferme et actualisable</x:v>
      </x:c>
      <x:c r="M521" s="33" t="str">
        <x:v>(51) Marne</x:v>
      </x:c>
      <x:c r="N521" s="33" t="str">
        <x:v>Oui</x:v>
      </x:c>
      <x:c r="O521" s="33" t="str">
        <x:v>data.gouv.fr_aife</x:v>
      </x:c>
      <x:c r="P521" s="33" t="str">
        <x:v>2018180005204000</x:v>
      </x:c>
    </x:row>
    <x:row r="522">
      <x:c r="A522" s="33" t="str">
        <x:v>2018100013158300</x:v>
      </x:c>
      <x:c r="B522" s="33" t="str">
        <x:v>MINARM / SSF / DSSF Brest - Direction du service de soutien de la flotte de Brest - DSSF Brest</x:v>
      </x:c>
      <x:c r="C522" s="33" t="str">
        <x:v>LOGNAV-CM</x:v>
      </x:c>
      <x:c r="D522" s="33" t="str">
        <x:v>Fourniture de plaques isolantes pour armoires et caisses à munitions de divers types et de diverses marques ou équivalents pour les unités de la Marine Nationale</x:v>
      </x:c>
      <x:c r="E522" s="33" t="str">
        <x:v>Isolants.</x:v>
      </x:c>
      <x:c r="F522" s="36" t="n">
        <x:v>190002</x:v>
      </x:c>
      <x:c r="G522" s="38" t="n">
        <x:v>43417</x:v>
      </x:c>
      <x:c r="H522" s="38" t="n">
        <x:v>43417</x:v>
      </x:c>
      <x:c r="I522" s="40" t="n">
        <x:v>8</x:v>
      </x:c>
      <x:c r="J522" s="33" t="str">
        <x:v>Marché</x:v>
      </x:c>
      <x:c r="K522" s="33" t="str">
        <x:v>Appel d'offres restreint</x:v>
      </x:c>
      <x:c r="L522" s="33" t="str">
        <x:v>Ferme et actualisable</x:v>
      </x:c>
      <x:c r="M522" s="33" t="str">
        <x:v>(29) Finistère</x:v>
      </x:c>
      <x:c r="N522" s="33" t="str">
        <x:v>Oui</x:v>
      </x:c>
      <x:c r="O522" s="33" t="str">
        <x:v>data.gouv.fr_aife</x:v>
      </x:c>
      <x:c r="P522" s="33" t="str">
        <x:v>2018100013158300</x:v>
      </x:c>
    </x:row>
    <x:row r="523">
      <x:c r="A523" s="33" t="str">
        <x:v>2018100013175200</x:v>
      </x:c>
      <x:c r="B523" s="33" t="str">
        <x:v>MINARM / SSF / DSSF Toulon - Direction du service de soutien de la flotte de Toulon - DSSF Toulon</x:v>
      </x:c>
      <x:c r="C523" s="33" t="str">
        <x:v>LE LITTORAL</x:v>
      </x:c>
      <x:c r="D523" s="33" t="str">
        <x:v>Accord cadre M16T20 014 relatif à l’approvisionnement de matériels courants de pompes et compresseurs, surpresseurs et accessoires associés pour les besoins nécessaires au maintien en condition opérationnelle (MCO) des Eléments de Force Maritime (</x:v>
      </x:c>
      <x:c r="E523" s="33" t="str">
        <x:v>Pièces pour navires de guerre.</x:v>
      </x:c>
      <x:c r="F523" s="36" t="n">
        <x:v>4696</x:v>
      </x:c>
      <x:c r="G523" s="38" t="n">
        <x:v>43417</x:v>
      </x:c>
      <x:c r="H523" s="38" t="n">
        <x:v>43417</x:v>
      </x:c>
      <x:c r="I523" s="40" t="n">
        <x:v>3</x:v>
      </x:c>
      <x:c r="J523" s="33" t="str">
        <x:v>Marché subséquent</x:v>
      </x:c>
      <x:c r="K523" s="33" t="str">
        <x:v>Appel d'offres ouvert</x:v>
      </x:c>
      <x:c r="L523" s="33" t="str">
        <x:v>Ferme et actualisable</x:v>
      </x:c>
      <x:c r="M523" s="33" t="str">
        <x:v>(83) Var</x:v>
      </x:c>
      <x:c r="N523" s="33" t="str">
        <x:v>Oui</x:v>
      </x:c>
      <x:c r="O523" s="33" t="str">
        <x:v>data.gouv.fr_aife</x:v>
      </x:c>
      <x:c r="P523" s="33" t="str">
        <x:v>2018100013175200</x:v>
      </x:c>
    </x:row>
    <x:row r="524">
      <x:c r="A524" s="33" t="str">
        <x:v>2018100013180200</x:v>
      </x:c>
      <x:c r="B524" s="33" t="str">
        <x:v>MINARM / SSF / DSSF Toulon - Direction du service de soutien de la flotte de Toulon - DSSF Toulon</x:v>
      </x:c>
      <x:c r="C524" s="33" t="str">
        <x:v>LOGNAV-CM</x:v>
      </x:c>
      <x:c r="D524" s="33" t="str">
        <x:v>Accord cadre M16T20 014 relatif à l’approvisionnement de matériels courants de pompes et compresseurs, surpresseurs et accessoires associés pour les besoins nécessaires au maintien en condition opérationnelle (MCO) des Eléments de Force Maritime (</x:v>
      </x:c>
      <x:c r="E524" s="33" t="str">
        <x:v>Pièces pour navires de guerre.</x:v>
      </x:c>
      <x:c r="F524" s="36" t="n">
        <x:v>17675</x:v>
      </x:c>
      <x:c r="G524" s="38" t="n">
        <x:v>43417</x:v>
      </x:c>
      <x:c r="H524" s="38" t="n">
        <x:v>43417</x:v>
      </x:c>
      <x:c r="I524" s="40" t="n">
        <x:v>8</x:v>
      </x:c>
      <x:c r="J524" s="33" t="str">
        <x:v>Marché subséquent</x:v>
      </x:c>
      <x:c r="K524" s="33" t="str">
        <x:v>Appel d'offres ouvert</x:v>
      </x:c>
      <x:c r="L524" s="33" t="str">
        <x:v>Ferme et actualisable</x:v>
      </x:c>
      <x:c r="M524" s="33" t="str">
        <x:v>(83) Var</x:v>
      </x:c>
      <x:c r="N524" s="33" t="str">
        <x:v>Oui</x:v>
      </x:c>
      <x:c r="O524" s="33" t="str">
        <x:v>data.gouv.fr_aife</x:v>
      </x:c>
      <x:c r="P524" s="33" t="str">
        <x:v>2018100013180200</x:v>
      </x:c>
    </x:row>
    <x:row r="525">
      <x:c r="A525" s="33" t="str">
        <x:v>2018150903887100</x:v>
      </x:c>
      <x:c r="B525" s="33" t="str">
        <x:v>MINARM / SGA / SID / ESID Lyon - Etablissement du service d'infrastructure de la défense de Lyon - ESID Lyon</x:v>
      </x:c>
      <x:c r="C525" s="33" t="str">
        <x:v>SNEF</x:v>
      </x:c>
      <x:c r="D525" s="33" t="str">
        <x:v>18DG026 NICE(06) - Port de Nice - BGMAR - Villa CEREMA - Transfert des locaux de la brigade de gendarmerie maritime de Nice - Gros oeuvre</x:v>
      </x:c>
      <x:c r="E525" s="33" t="str">
        <x:v>Travaux de gros œuvre.</x:v>
      </x:c>
      <x:c r="F525" s="36" t="n">
        <x:v>136166</x:v>
      </x:c>
      <x:c r="G525" s="38" t="n">
        <x:v>43417</x:v>
      </x:c>
      <x:c r="H525" s="38" t="n">
        <x:v>43417</x:v>
      </x:c>
      <x:c r="I525" s="40" t="n">
        <x:v>5</x:v>
      </x:c>
      <x:c r="J525" s="33" t="str"/>
      <x:c r="K525" s="33" t="str"/>
      <x:c r="L525" s="33" t="str">
        <x:v>Ferme et actualisable</x:v>
      </x:c>
      <x:c r="M525" s="33" t="str">
        <x:v>(06) Alpes-Maritimes</x:v>
      </x:c>
      <x:c r="N525" s="33" t="str">
        <x:v>Oui</x:v>
      </x:c>
      <x:c r="O525" s="33" t="str">
        <x:v>data.gouv.fr_aife</x:v>
      </x:c>
      <x:c r="P525" s="33" t="str">
        <x:v>2018150903887100</x:v>
      </x:c>
    </x:row>
    <x:row r="526">
      <x:c r="A526" s="33" t="str">
        <x:v>20182018F0033700</x:v>
      </x:c>
      <x:c r="B526" s="33" t="str">
        <x:v>MINARM / ESTM / EPA / ISAE - Institut supérieur de l'aéronautique et de l'espace (ISAE)</x:v>
      </x:c>
      <x:c r="C526" s="33" t="str">
        <x:v>AART ELECTRONICS</x:v>
      </x:c>
      <x:c r="D526" s="33" t="str">
        <x:v>Amplificateur de forte puissance en bande VHF / UHF (neuf)</x:v>
      </x:c>
      <x:c r="E526" s="33" t="str">
        <x:v>Amplificateurs.</x:v>
      </x:c>
      <x:c r="F526" s="36" t="n">
        <x:v>25421</x:v>
      </x:c>
      <x:c r="G526" s="38" t="n">
        <x:v>43417</x:v>
      </x:c>
      <x:c r="H526" s="38" t="n">
        <x:v>43417</x:v>
      </x:c>
      <x:c r="I526" s="40" t="n">
        <x:v>4</x:v>
      </x:c>
      <x:c r="J526" s="33" t="str">
        <x:v>Marché</x:v>
      </x:c>
      <x:c r="K526" s="33" t="str">
        <x:v>Appel d'offres ouvert</x:v>
      </x:c>
      <x:c r="L526" s="33" t="str">
        <x:v>Ferme</x:v>
      </x:c>
      <x:c r="M526" s="33" t="str">
        <x:v>(31) Haute-Garonne</x:v>
      </x:c>
      <x:c r="N526" s="33" t="str">
        <x:v>Oui</x:v>
      </x:c>
      <x:c r="O526" s="33" t="str">
        <x:v>data.gouv.fr_aife</x:v>
      </x:c>
      <x:c r="P526" s="33" t="str">
        <x:v>20182018F0033700</x:v>
      </x:c>
    </x:row>
    <x:row r="527">
      <x:c r="A527" s="33" t="str">
        <x:v>2018100013169000</x:v>
      </x:c>
      <x:c r="B527" s="33" t="str">
        <x:v>MINARM / SGA / SPAC - Service Parisien de Soutien de l'Administration Centrale - SPAC</x:v>
      </x:c>
      <x:c r="C527" s="33" t="str">
        <x:v>LUDENDO COMMERCE FRANCE</x:v>
      </x:c>
      <x:c r="D527" s="33" t="str">
        <x:v>Achat de cartes cadeaux au profit des enfants bénéficiaires de l'arbre de Noël 2018 de l'administration centrale du ministère des armées</x:v>
      </x:c>
      <x:c r="E527" s="33" t="str">
        <x:v>Cadeaux et prix.</x:v>
      </x:c>
      <x:c r="F527" s="36" t="n">
        <x:v>212608</x:v>
      </x:c>
      <x:c r="G527" s="38" t="n">
        <x:v>43417</x:v>
      </x:c>
      <x:c r="H527" s="38" t="n">
        <x:v>43417</x:v>
      </x:c>
      <x:c r="I527" s="40" t="n">
        <x:v>2</x:v>
      </x:c>
      <x:c r="J527" s="33" t="str">
        <x:v>Marché</x:v>
      </x:c>
      <x:c r="K527" s="33" t="str">
        <x:v>Appel d'offres ouvert</x:v>
      </x:c>
      <x:c r="L527" s="33" t="str">
        <x:v>Ferme</x:v>
      </x:c>
      <x:c r="M527" s="33" t="str">
        <x:v>(94) Val-de-Marne</x:v>
      </x:c>
      <x:c r="N527" s="33" t="str">
        <x:v>Oui</x:v>
      </x:c>
      <x:c r="O527" s="33" t="str">
        <x:v>data.gouv.fr_aife</x:v>
      </x:c>
      <x:c r="P527" s="33" t="str">
        <x:v>2018100013169000</x:v>
      </x:c>
    </x:row>
    <x:row r="528">
      <x:c r="A528" s="33" t="str">
        <x:v>2018150901725800</x:v>
      </x:c>
      <x:c r="B528" s="33" t="str">
        <x:v>MINARM / SGA / SID / ESID Metz - Etablissement du service d'infrastructure de la défense de Metz - ESID Metz</x:v>
      </x:c>
      <x:c r="C528" s="33" t="str">
        <x:v>CHEVALME FRERES</x:v>
      </x:c>
      <x:c r="D528" s="33" t="str">
        <x:v>LUXEUIL LES BAINS (70) - Base aérienne 116 - HM10 - Bât 0260 - Rénovation des sanitaires communs et de permanence, - et modification dune chambre permanent - COSI 451868</x:v>
      </x:c>
      <x:c r="E528" s="33" t="str">
        <x:v>Travaux de réfection.</x:v>
      </x:c>
      <x:c r="F528" s="36" t="n">
        <x:v>112021</x:v>
      </x:c>
      <x:c r="G528" s="38" t="n">
        <x:v>43417</x:v>
      </x:c>
      <x:c r="H528" s="38" t="n">
        <x:v>43417</x:v>
      </x:c>
      <x:c r="I528" s="40" t="n">
        <x:v>3</x:v>
      </x:c>
      <x:c r="J528" s="33" t="str"/>
      <x:c r="K528" s="33" t="str"/>
      <x:c r="L528" s="33" t="str"/>
      <x:c r="M528" s="33" t="str">
        <x:v>(57) Moselle</x:v>
      </x:c>
      <x:c r="N528" s="33" t="str">
        <x:v>Oui</x:v>
      </x:c>
      <x:c r="O528" s="33" t="str">
        <x:v>data.gouv.fr_aife</x:v>
      </x:c>
      <x:c r="P528" s="33" t="str">
        <x:v>2018150901725800</x:v>
      </x:c>
    </x:row>
    <x:row r="529">
      <x:c r="A529" s="33" t="str">
        <x:v>2018150908711100</x:v>
      </x:c>
      <x:c r="B529" s="33" t="str">
        <x:v>MINARM / SGA / SID / ESID Metz - Etablissement du service d'infrastructure de la défense de Metz - ESID Metz</x:v>
      </x:c>
      <x:c r="C529" s="33" t="str">
        <x:v>SOCIETE EQUIPEMENT THERMIQUE INDUSTRIEL</x:v>
      </x:c>
      <x:c r="D529" s="33" t="str">
        <x:v>THIERVILLE-SUR-MEUSE - Quartier Maginot - 1er RCh - Bât 0322 (atelier tourelles) - Extracteur de gaz d'échappements Leclerc - VBCI - COSI 448012</x:v>
      </x:c>
      <x:c r="E529" s="33" t="str">
        <x:v>Travaux d'installation de matériel de ventilation et de climatisation.</x:v>
      </x:c>
      <x:c r="F529" s="36" t="n">
        <x:v>205016</x:v>
      </x:c>
      <x:c r="G529" s="38" t="n">
        <x:v>43417</x:v>
      </x:c>
      <x:c r="H529" s="38" t="n">
        <x:v>43417</x:v>
      </x:c>
      <x:c r="I529" s="40" t="n">
        <x:v>5</x:v>
      </x:c>
      <x:c r="J529" s="33" t="str">
        <x:v>Marché</x:v>
      </x:c>
      <x:c r="K529" s="33" t="str">
        <x:v>Appel d'offres ouvert</x:v>
      </x:c>
      <x:c r="L529" s="33" t="str">
        <x:v>Ferme et actualisable</x:v>
      </x:c>
      <x:c r="M529" s="33" t="str">
        <x:v>(55) Meuse</x:v>
      </x:c>
      <x:c r="N529" s="33" t="str">
        <x:v>Oui</x:v>
      </x:c>
      <x:c r="O529" s="33" t="str">
        <x:v>data.gouv.fr_aife</x:v>
      </x:c>
      <x:c r="P529" s="33" t="str">
        <x:v>2018150908711100</x:v>
      </x:c>
    </x:row>
    <x:row r="530">
      <x:c r="A530" s="33" t="str">
        <x:v>2018150909739600</x:v>
      </x:c>
      <x:c r="B530" s="33" t="str">
        <x:v>MINARM / SSF / DSSF Brest - Direction du service de soutien de la flotte de Brest - DSSF Brest</x:v>
      </x:c>
      <x:c r="C530" s="33" t="str">
        <x:v>AART ELECTRONICS</x:v>
      </x:c>
      <x:c r="D530" s="33" t="str">
        <x:v>Approvisionnement de matériels électriques de marques diverses ou équivalents au profit des unités de la Marine Nationale</x:v>
      </x:c>
      <x:c r="E530" s="33" t="str">
        <x:v>Pièces électroniques et électriques de rechange pour navires de guerre.</x:v>
      </x:c>
      <x:c r="F530" s="36" t="n">
        <x:v>9798</x:v>
      </x:c>
      <x:c r="G530" s="38" t="n">
        <x:v>43417</x:v>
      </x:c>
      <x:c r="H530" s="38" t="n">
        <x:v>43417</x:v>
      </x:c>
      <x:c r="I530" s="40" t="n">
        <x:v>5</x:v>
      </x:c>
      <x:c r="J530" s="33" t="str">
        <x:v>Marché</x:v>
      </x:c>
      <x:c r="K530" s="33" t="str">
        <x:v>Procédure adaptée</x:v>
      </x:c>
      <x:c r="L530" s="33" t="str">
        <x:v>Ferme</x:v>
      </x:c>
      <x:c r="M530" s="33" t="str">
        <x:v>(29) Finistère</x:v>
      </x:c>
      <x:c r="N530" s="33" t="str">
        <x:v>Oui</x:v>
      </x:c>
      <x:c r="O530" s="33" t="str">
        <x:v>data.gouv.fr_aife</x:v>
      </x:c>
      <x:c r="P530" s="33" t="str">
        <x:v>2018150909739600</x:v>
      </x:c>
    </x:row>
    <x:row r="531">
      <x:c r="A531" s="33" t="str">
        <x:v>2018150907832100</x:v>
      </x:c>
      <x:c r="B531" s="33" t="str">
        <x:v>MINARM / SGA / SID / ESID Metz - Etablissement du service d'infrastructure de la défense de Metz - ESID Metz</x:v>
      </x:c>
      <x:c r="C531" s="33" t="str">
        <x:v>TECHNIC CHAUFFAGE</x:v>
      </x:c>
      <x:c r="D531" s="33" t="str">
        <x:v>ROUVRES EN WOEVRE (55) Base Ltn Etienne Mantoux - Bâtiment 0052 – Fourniture et pose d’un système de ventilation et de grilles d’aération -</x:v>
      </x:c>
      <x:c r="E531" s="33" t="str">
        <x:v>Travaux d'installation de matériel de ventilation et de climatisation.</x:v>
      </x:c>
      <x:c r="F531" s="36" t="n">
        <x:v>168000</x:v>
      </x:c>
      <x:c r="G531" s="38" t="n">
        <x:v>43418</x:v>
      </x:c>
      <x:c r="H531" s="38" t="n">
        <x:v>43418</x:v>
      </x:c>
      <x:c r="I531" s="40" t="n">
        <x:v>4</x:v>
      </x:c>
      <x:c r="J531" s="33" t="str">
        <x:v>Marché</x:v>
      </x:c>
      <x:c r="K531" s="33" t="str">
        <x:v>Appel d'offres ouvert</x:v>
      </x:c>
      <x:c r="L531" s="33" t="str">
        <x:v>Ferme et actualisable</x:v>
      </x:c>
      <x:c r="M531" s="33" t="str">
        <x:v>(55) Meuse</x:v>
      </x:c>
      <x:c r="N531" s="33" t="str">
        <x:v>Oui</x:v>
      </x:c>
      <x:c r="O531" s="33" t="str">
        <x:v>data.gouv.fr_aife</x:v>
      </x:c>
      <x:c r="P531" s="33" t="str">
        <x:v>2018150907832100</x:v>
      </x:c>
    </x:row>
    <x:row r="532">
      <x:c r="A532" s="33" t="str">
        <x:v>2018180005200100</x:v>
      </x:c>
      <x:c r="B532" s="33" t="str">
        <x:v>MINARM / SGA / SPAC - Service Parisien de Soutien de l'Administration Centrale - SPAC</x:v>
      </x:c>
      <x:c r="C532" s="33" t="str">
        <x:v>JAULIN</x:v>
      </x:c>
      <x:c r="D532" s="33" t="str">
        <x:v>Aménagement temporaire de l’esplanade du quai Branly à Paris (7e arrondissement), dans le cadre de la cérémonie commémorant la journée nationale d’hommage aux « morts pour la France » de la guerre d’Algérie et les combats du Maroc et de la</x:v>
      </x:c>
      <x:c r="E532" s="33" t="str">
        <x:v>Services d'organisation d'évènements .</x:v>
      </x:c>
      <x:c r="F532" s="36" t="n">
        <x:v>5587</x:v>
      </x:c>
      <x:c r="G532" s="38" t="n">
        <x:v>43418</x:v>
      </x:c>
      <x:c r="H532" s="38" t="n">
        <x:v>43418</x:v>
      </x:c>
      <x:c r="I532" s="40" t="n">
        <x:v>2</x:v>
      </x:c>
      <x:c r="J532" s="33" t="str">
        <x:v>Accord-cadre</x:v>
      </x:c>
      <x:c r="K532" s="33" t="str">
        <x:v>Procédure adaptée</x:v>
      </x:c>
      <x:c r="L532" s="33" t="str">
        <x:v>Ferme</x:v>
      </x:c>
      <x:c r="M532" s="33" t="str">
        <x:v>(75) Paris</x:v>
      </x:c>
      <x:c r="N532" s="33" t="str">
        <x:v>Oui</x:v>
      </x:c>
      <x:c r="O532" s="33" t="str">
        <x:v>data.gouv.fr_aife</x:v>
      </x:c>
      <x:c r="P532" s="33" t="str">
        <x:v>2018180005200100</x:v>
      </x:c>
    </x:row>
    <x:row r="533">
      <x:c r="A533" s="33" t="str">
        <x:v>20182018F5687200</x:v>
      </x:c>
      <x:c r="B533" s="33" t="str">
        <x:v>MINARM / SEA - Service des Essences des Armées</x:v>
      </x:c>
      <x:c r="C533" s="33" t="str">
        <x:v>Vitol SA</x:v>
      </x:c>
      <x:c r="D533" s="33" t="str">
        <x:v>Approvisionnement du Service des essences des armées (SEA) en "carburéacteur pour turbomachines d'aviation, type kérosène, F-35", par introduction à LAVÉRA et LE HAVRE dans le réseau des oléoducs de défense commune de l'OTAN. - Approvisionnement</x:v>
      </x:c>
      <x:c r="E533" s="33" t="str"/>
      <x:c r="F533" s="36" t="n">
        <x:v>70595000</x:v>
      </x:c>
      <x:c r="G533" s="38" t="n">
        <x:v>43418</x:v>
      </x:c>
      <x:c r="H533" s="38" t="n">
        <x:v>43418</x:v>
      </x:c>
      <x:c r="I533" s="40" t="n">
        <x:v>48</x:v>
      </x:c>
      <x:c r="J533" s="33" t="str">
        <x:v>Accord-cadre</x:v>
      </x:c>
      <x:c r="K533" s="33" t="str">
        <x:v>Appel d'offres ouvert</x:v>
      </x:c>
      <x:c r="L533" s="33" t="str"/>
      <x:c r="M533" s="33" t="str">
        <x:v>(92) Hauts-de-Seine</x:v>
      </x:c>
      <x:c r="N533" s="33" t="str">
        <x:v>Oui</x:v>
      </x:c>
      <x:c r="O533" s="33" t="str">
        <x:v>data.gouv.fr_aife</x:v>
      </x:c>
      <x:c r="P533" s="33" t="str">
        <x:v>20182018F5687200</x:v>
      </x:c>
    </x:row>
    <x:row r="534">
      <x:c r="A534" s="33" t="str">
        <x:v>20182018F8001100</x:v>
      </x:c>
      <x:c r="B534" s="33" t="str">
        <x:v>MINARM / SEA - Service des Essences des Armées</x:v>
      </x:c>
      <x:c r="C534" s="33" t="str">
        <x:v>SOCIETE DES PETROLES SHELL</x:v>
      </x:c>
      <x:c r="D534" s="33" t="str">
        <x:v>Approvisionnement du Service des essences des armées (SEA) en "carburéacteur pour turbomachines d'aviation, type kérosène, F-35", par introduction à LAVÉRA et LE HAVRE dans le réseau des oléoducs de défense commune de l'OTAN. - Approvisionnement</x:v>
      </x:c>
      <x:c r="E534" s="33" t="str"/>
      <x:c r="F534" s="36" t="n">
        <x:v>70595000</x:v>
      </x:c>
      <x:c r="G534" s="38" t="n">
        <x:v>43418</x:v>
      </x:c>
      <x:c r="H534" s="38" t="n">
        <x:v>43418</x:v>
      </x:c>
      <x:c r="I534" s="40" t="n">
        <x:v>48</x:v>
      </x:c>
      <x:c r="J534" s="33" t="str">
        <x:v>Accord-cadre</x:v>
      </x:c>
      <x:c r="K534" s="33" t="str">
        <x:v>Appel d'offres ouvert</x:v>
      </x:c>
      <x:c r="L534" s="33" t="str"/>
      <x:c r="M534" s="33" t="str">
        <x:v>(92) Hauts-de-Seine</x:v>
      </x:c>
      <x:c r="N534" s="33" t="str">
        <x:v>Oui</x:v>
      </x:c>
      <x:c r="O534" s="33" t="str">
        <x:v>data.gouv.fr_aife</x:v>
      </x:c>
      <x:c r="P534" s="33" t="str">
        <x:v>20182018F8001100</x:v>
      </x:c>
    </x:row>
    <x:row r="535">
      <x:c r="A535" s="33" t="str">
        <x:v>2018100013057800</x:v>
      </x:c>
      <x:c r="B535" s="33" t="str">
        <x:v>MINARM / SSF / DSSF Toulon - Direction du service de soutien de la flotte de Toulon - DSSF Toulon</x:v>
      </x:c>
      <x:c r="C535" s="33" t="str">
        <x:v>AART ELECTRONICS</x:v>
      </x:c>
      <x:c r="D535" s="33" t="str">
        <x:v>AC M16T20 010 relatif à l'approvisionnement de matériels électriques et électroniques pour le maintien en condition opérationnelle (MCO) des Eléments de Force Maritime et des Eléments de Force Armées. -</x:v>
      </x:c>
      <x:c r="E535" s="33" t="str">
        <x:v>Pièces électroniques et électriques de rechange pour navires de guerre.</x:v>
      </x:c>
      <x:c r="F535" s="36" t="n">
        <x:v>73512</x:v>
      </x:c>
      <x:c r="G535" s="38" t="n">
        <x:v>43418</x:v>
      </x:c>
      <x:c r="H535" s="38" t="n">
        <x:v>43418</x:v>
      </x:c>
      <x:c r="I535" s="40" t="n">
        <x:v>12</x:v>
      </x:c>
      <x:c r="J535" s="33" t="str"/>
      <x:c r="K535" s="33" t="str"/>
      <x:c r="L535" s="33" t="str"/>
      <x:c r="M535" s="33" t="str">
        <x:v>(83) Var</x:v>
      </x:c>
      <x:c r="N535" s="33" t="str">
        <x:v>Oui</x:v>
      </x:c>
      <x:c r="O535" s="33" t="str">
        <x:v>data.gouv.fr_aife</x:v>
      </x:c>
      <x:c r="P535" s="33" t="str">
        <x:v>2018100013057800</x:v>
      </x:c>
    </x:row>
    <x:row r="536">
      <x:c r="A536" s="33" t="str">
        <x:v>20182018F2282800</x:v>
      </x:c>
      <x:c r="B536" s="33" t="str">
        <x:v>MINARM / SEA - Service des Essences des Armées</x:v>
      </x:c>
      <x:c r="C536" s="33" t="str">
        <x:v>TOTAL MARKETING FRANCE</x:v>
      </x:c>
      <x:c r="D536" s="33" t="str">
        <x:v>Approvisionnement du Service des essences des armées (SEA) en "carburéacteur pour turbomachines d'aviation, type kérosène, F-35", par introduction à LAVÉRA et LE HAVRE dans le réseau des oléoducs de défense commune de l'OTAN. - Approvisionnement</x:v>
      </x:c>
      <x:c r="E536" s="33" t="str"/>
      <x:c r="F536" s="36" t="n">
        <x:v>70595000</x:v>
      </x:c>
      <x:c r="G536" s="38" t="n">
        <x:v>43418</x:v>
      </x:c>
      <x:c r="H536" s="38" t="n">
        <x:v>43418</x:v>
      </x:c>
      <x:c r="I536" s="40" t="n">
        <x:v>48</x:v>
      </x:c>
      <x:c r="J536" s="33" t="str">
        <x:v>Accord-cadre</x:v>
      </x:c>
      <x:c r="K536" s="33" t="str">
        <x:v>Appel d'offres ouvert</x:v>
      </x:c>
      <x:c r="L536" s="33" t="str"/>
      <x:c r="M536" s="33" t="str">
        <x:v>(92) Hauts-de-Seine</x:v>
      </x:c>
      <x:c r="N536" s="33" t="str">
        <x:v>Oui</x:v>
      </x:c>
      <x:c r="O536" s="33" t="str">
        <x:v>data.gouv.fr_aife</x:v>
      </x:c>
      <x:c r="P536" s="33" t="str">
        <x:v>20182018F2282800</x:v>
      </x:c>
    </x:row>
    <x:row r="537">
      <x:c r="A537" s="33" t="str">
        <x:v>20182018S0033500</x:v>
      </x:c>
      <x:c r="B537" s="33" t="str">
        <x:v>MINARM / ESTM / EPA / ISAE - Institut supérieur de l'aéronautique et de l'espace (ISAE)</x:v>
      </x:c>
      <x:c r="C537" s="33" t="str">
        <x:v>Athegram</x:v>
      </x:c>
      <x:c r="D537" s="33" t="str">
        <x:v>Accord-cadre mono-attributaire (s'exécutant par la conclusion de marchés subséquents) pour des - missions de programmation, d'assistance à maîtrise d'ouvrage (AMO) et d'économie de la - construction : - - Etudes d'opportunité, - - Etudes de faisabilité,...</x:v>
      </x:c>
      <x:c r="E537" s="33" t="str">
        <x:v>Services d'architecture , services de construction, services d'ingénierie et services d'inspection.</x:v>
      </x:c>
      <x:c r="F537" s="36" t="n">
        <x:v>134000</x:v>
      </x:c>
      <x:c r="G537" s="38" t="n">
        <x:v>43418</x:v>
      </x:c>
      <x:c r="H537" s="38" t="n">
        <x:v>43418</x:v>
      </x:c>
      <x:c r="I537" s="40" t="n">
        <x:v>48</x:v>
      </x:c>
      <x:c r="J537" s="33" t="str">
        <x:v>Accord-cadre</x:v>
      </x:c>
      <x:c r="K537" s="33" t="str">
        <x:v>Procédure adaptée</x:v>
      </x:c>
      <x:c r="L537" s="33" t="str">
        <x:v>Révisable</x:v>
      </x:c>
      <x:c r="M537" s="33" t="str">
        <x:v>(31) Haute-Garonne</x:v>
      </x:c>
      <x:c r="N537" s="33" t="str">
        <x:v>Oui</x:v>
      </x:c>
      <x:c r="O537" s="33" t="str">
        <x:v>data.gouv.fr_aife</x:v>
      </x:c>
      <x:c r="P537" s="33" t="str">
        <x:v>20182018S0033500</x:v>
      </x:c>
    </x:row>
    <x:row r="538">
      <x:c r="A538" s="33" t="str">
        <x:v>2018170008944200</x:v>
      </x:c>
      <x:c r="B538" s="33" t="str">
        <x:v>MINARM / SCA / PFC Brest - Plate-forme commissariat Brest</x:v>
      </x:c>
      <x:c r="C538" s="33" t="str">
        <x:v>SA ELECTRO STANDARD</x:v>
      </x:c>
      <x:c r="D538" s="33" t="str">
        <x:v>Réparation de cartes électroniques des robots et matériels de déminage au profit de la cellule NEDEX de CECLANT</x:v>
      </x:c>
      <x:c r="E538" s="33" t="str"/>
      <x:c r="F538" s="36" t="n">
        <x:v>24000</x:v>
      </x:c>
      <x:c r="G538" s="38" t="n">
        <x:v>43418</x:v>
      </x:c>
      <x:c r="H538" s="38" t="n">
        <x:v>43418</x:v>
      </x:c>
      <x:c r="I538" s="40" t="n">
        <x:v>48</x:v>
      </x:c>
      <x:c r="J538" s="33" t="str"/>
      <x:c r="K538" s="33" t="str"/>
      <x:c r="L538" s="33" t="str"/>
      <x:c r="M538" s="33" t="str">
        <x:v>(29) Finistère</x:v>
      </x:c>
      <x:c r="N538" s="33" t="str">
        <x:v>Oui</x:v>
      </x:c>
      <x:c r="O538" s="33" t="str">
        <x:v>data.gouv.fr_aife</x:v>
      </x:c>
      <x:c r="P538" s="33" t="str">
        <x:v>2018170008944200</x:v>
      </x:c>
    </x:row>
    <x:row r="539">
      <x:c r="A539" s="33" t="str">
        <x:v>20182018F7494400</x:v>
      </x:c>
      <x:c r="B539" s="33" t="str">
        <x:v>MINARM / SEA - Service des Essences des Armées</x:v>
      </x:c>
      <x:c r="C539" s="33" t="str">
        <x:v>BP FRANCE</x:v>
      </x:c>
      <x:c r="D539" s="33" t="str">
        <x:v>Approvisionnement du Service des essences des armées (SEA) en "carburéacteur pour turbomachines d'aviation, type kérosène, F-35", par introduction à LAVÉRA et LE HAVRE dans le réseau des oléoducs de défense commune de l'OTAN. - Approvisionnement</x:v>
      </x:c>
      <x:c r="E539" s="33" t="str"/>
      <x:c r="F539" s="36" t="n">
        <x:v>70595000</x:v>
      </x:c>
      <x:c r="G539" s="38" t="n">
        <x:v>43418</x:v>
      </x:c>
      <x:c r="H539" s="38" t="n">
        <x:v>43418</x:v>
      </x:c>
      <x:c r="I539" s="40" t="n">
        <x:v>48</x:v>
      </x:c>
      <x:c r="J539" s="33" t="str">
        <x:v>Accord-cadre</x:v>
      </x:c>
      <x:c r="K539" s="33" t="str">
        <x:v>Appel d'offres ouvert</x:v>
      </x:c>
      <x:c r="L539" s="33" t="str"/>
      <x:c r="M539" s="33" t="str">
        <x:v>(92) Hauts-de-Seine</x:v>
      </x:c>
      <x:c r="N539" s="33" t="str">
        <x:v>Oui</x:v>
      </x:c>
      <x:c r="O539" s="33" t="str">
        <x:v>data.gouv.fr_aife</x:v>
      </x:c>
      <x:c r="P539" s="33" t="str">
        <x:v>20182018F7494400</x:v>
      </x:c>
    </x:row>
    <x:row r="540">
      <x:c r="A540" s="33" t="str">
        <x:v>20182018F8001300</x:v>
      </x:c>
      <x:c r="B540" s="33" t="str">
        <x:v>MINARM / SEA - Service des Essences des Armées</x:v>
      </x:c>
      <x:c r="C540" s="33" t="str">
        <x:v>Mercuria Energy Trading</x:v>
      </x:c>
      <x:c r="D540" s="33" t="str">
        <x:v>Approvisionnement du Service des essences des armées (SEA) en "carburéacteur pour turbomachines d'aviation, type kérosène, F-35", par introduction à LAVÉRA et LE HAVRE dans le réseau des oléoducs de défense commune de l'OTAN. - Approvisionnement</x:v>
      </x:c>
      <x:c r="E540" s="33" t="str"/>
      <x:c r="F540" s="36" t="n">
        <x:v>70595000</x:v>
      </x:c>
      <x:c r="G540" s="38" t="n">
        <x:v>43418</x:v>
      </x:c>
      <x:c r="H540" s="38" t="n">
        <x:v>43418</x:v>
      </x:c>
      <x:c r="I540" s="40" t="n">
        <x:v>48</x:v>
      </x:c>
      <x:c r="J540" s="33" t="str">
        <x:v>Accord-cadre</x:v>
      </x:c>
      <x:c r="K540" s="33" t="str">
        <x:v>Appel d'offres ouvert</x:v>
      </x:c>
      <x:c r="L540" s="33" t="str"/>
      <x:c r="M540" s="33" t="str">
        <x:v>(92) Hauts-de-Seine</x:v>
      </x:c>
      <x:c r="N540" s="33" t="str">
        <x:v>Oui</x:v>
      </x:c>
      <x:c r="O540" s="33" t="str">
        <x:v>data.gouv.fr_aife</x:v>
      </x:c>
      <x:c r="P540" s="33" t="str">
        <x:v>20182018F8001300</x:v>
      </x:c>
    </x:row>
    <x:row r="541">
      <x:c r="A541" s="33" t="str">
        <x:v>2018170008998200</x:v>
      </x:c>
      <x:c r="B541" s="33" t="str">
        <x:v>MINARM / SGA / DRH-MD / ARD - Agence de reconversion de la défense - ARD - DEFMOB</x:v>
      </x:c>
      <x:c r="C541" s="33" t="str">
        <x:v>AFORP FORMATION</x:v>
      </x:c>
      <x:c r="D541" s="33" t="str">
        <x:v>réalisation de formations et de prestations associées dans le domaine de la mécanique et de la métallurgie. - métiers de la mécanique</x:v>
      </x:c>
      <x:c r="E541" s="33" t="str">
        <x:v>Services de formation.</x:v>
      </x:c>
      <x:c r="F541" s="36" t="n">
        <x:v>3530333</x:v>
      </x:c>
      <x:c r="G541" s="38" t="n">
        <x:v>43419</x:v>
      </x:c>
      <x:c r="H541" s="38" t="n">
        <x:v>43419</x:v>
      </x:c>
      <x:c r="I541" s="40" t="n">
        <x:v>48</x:v>
      </x:c>
      <x:c r="J541" s="33" t="str">
        <x:v>Accord-cadre</x:v>
      </x:c>
      <x:c r="K541" s="33" t="str">
        <x:v>Procédure adaptée</x:v>
      </x:c>
      <x:c r="L541" s="33" t="str">
        <x:v>Révisable</x:v>
      </x:c>
      <x:c r="M541" s="33" t="str">
        <x:v>(02) Aisne</x:v>
      </x:c>
      <x:c r="N541" s="33" t="str">
        <x:v>Oui</x:v>
      </x:c>
      <x:c r="O541" s="33" t="str">
        <x:v>data.gouv.fr_aife</x:v>
      </x:c>
      <x:c r="P541" s="33" t="str">
        <x:v>2018170008998200</x:v>
      </x:c>
    </x:row>
    <x:row r="542">
      <x:c r="A542" s="33" t="str">
        <x:v>2018150909409500</x:v>
      </x:c>
      <x:c r="B542" s="33" t="str">
        <x:v>MINARM / SSF / DSSF Brest - Direction du service de soutien de la flotte de Brest - DSSF Brest</x:v>
      </x:c>
      <x:c r="C542" s="33" t="str">
        <x:v>LOGNAV-CM</x:v>
      </x:c>
      <x:c r="D542" s="33" t="str">
        <x:v>Fourniture de matériels de contrôle et de régulations de divers types et de diverses marques ou équivalents pour les unités de la marine nationale.</x:v>
      </x:c>
      <x:c r="E542" s="33" t="str">
        <x:v>Pièces pour navires de guerre.</x:v>
      </x:c>
      <x:c r="F542" s="36" t="n">
        <x:v>7494</x:v>
      </x:c>
      <x:c r="G542" s="38" t="n">
        <x:v>43419</x:v>
      </x:c>
      <x:c r="H542" s="38" t="n">
        <x:v>43419</x:v>
      </x:c>
      <x:c r="I542" s="40" t="n">
        <x:v>2</x:v>
      </x:c>
      <x:c r="J542" s="33" t="str">
        <x:v>Marché</x:v>
      </x:c>
      <x:c r="K542" s="33" t="str">
        <x:v>Procédure adaptée</x:v>
      </x:c>
      <x:c r="L542" s="33" t="str">
        <x:v>Ferme</x:v>
      </x:c>
      <x:c r="M542" s="33" t="str">
        <x:v>(29) Finistère</x:v>
      </x:c>
      <x:c r="N542" s="33" t="str">
        <x:v>Oui</x:v>
      </x:c>
      <x:c r="O542" s="33" t="str">
        <x:v>data.gouv.fr_aife</x:v>
      </x:c>
      <x:c r="P542" s="33" t="str">
        <x:v>2018150909409500</x:v>
      </x:c>
    </x:row>
    <x:row r="543">
      <x:c r="A543" s="33" t="str">
        <x:v>2018170009009800</x:v>
      </x:c>
      <x:c r="B543" s="33" t="str">
        <x:v>MINARM / SSA / DAPSA - Direction des Approvisionnements en produits de santé des armées</x:v>
      </x:c>
      <x:c r="C543" s="33" t="str">
        <x:v>FAURE QEI</x:v>
      </x:c>
      <x:c r="D543" s="33" t="str">
        <x:v>les prestations de qualification des zones à atmosphères contrôlées (ZAC) et de matériels de la pharmacie centrale des armées (PCA)</x:v>
      </x:c>
      <x:c r="E543" s="33" t="str">
        <x:v>Services de contrôle de la conformité aux normes environnementales pour activités spécifiques.</x:v>
      </x:c>
      <x:c r="F543" s="36" t="n">
        <x:v>80968</x:v>
      </x:c>
      <x:c r="G543" s="38" t="n">
        <x:v>43419</x:v>
      </x:c>
      <x:c r="H543" s="38" t="n">
        <x:v>43419</x:v>
      </x:c>
      <x:c r="I543" s="40" t="n">
        <x:v>48</x:v>
      </x:c>
      <x:c r="J543" s="33" t="str">
        <x:v>Accord-cadre</x:v>
      </x:c>
      <x:c r="K543" s="33" t="str">
        <x:v>Procédure adaptée</x:v>
      </x:c>
      <x:c r="L543" s="33" t="str">
        <x:v>Révisable</x:v>
      </x:c>
      <x:c r="M543" s="33" t="str">
        <x:v>(45) Loiret</x:v>
      </x:c>
      <x:c r="N543" s="33" t="str">
        <x:v>Oui</x:v>
      </x:c>
      <x:c r="O543" s="33" t="str">
        <x:v>data.gouv.fr_aife</x:v>
      </x:c>
      <x:c r="P543" s="33" t="str">
        <x:v>2018170009009800</x:v>
      </x:c>
    </x:row>
    <x:row r="544">
      <x:c r="A544" s="33" t="str">
        <x:v>2018170009003000</x:v>
      </x:c>
      <x:c r="B544" s="33" t="str">
        <x:v>MINARM / SGA / DRH-MD / ARD - Agence de reconversion de la défense - ARD - DEFMOB</x:v>
      </x:c>
      <x:c r="C544" s="33" t="str">
        <x:v>AFORP FORMATION</x:v>
      </x:c>
      <x:c r="D544" s="33" t="str">
        <x:v>réalisation de formations et de prestations associées dans le domaine de la mécanique et de la métallurgie. - métiers de la métallurgie</x:v>
      </x:c>
      <x:c r="E544" s="33" t="str">
        <x:v>Services de formation.</x:v>
      </x:c>
      <x:c r="F544" s="36" t="n">
        <x:v>2477966</x:v>
      </x:c>
      <x:c r="G544" s="38" t="n">
        <x:v>43419</x:v>
      </x:c>
      <x:c r="H544" s="38" t="n">
        <x:v>43419</x:v>
      </x:c>
      <x:c r="I544" s="40" t="n">
        <x:v>48</x:v>
      </x:c>
      <x:c r="J544" s="33" t="str">
        <x:v>Marché</x:v>
      </x:c>
      <x:c r="K544" s="33" t="str">
        <x:v>Procédure adaptée</x:v>
      </x:c>
      <x:c r="L544" s="33" t="str">
        <x:v>Révisable</x:v>
      </x:c>
      <x:c r="M544" s="33" t="str">
        <x:v>(02) Aisne</x:v>
      </x:c>
      <x:c r="N544" s="33" t="str">
        <x:v>Oui</x:v>
      </x:c>
      <x:c r="O544" s="33" t="str">
        <x:v>data.gouv.fr_aife</x:v>
      </x:c>
      <x:c r="P544" s="33" t="str">
        <x:v>2018170009003000</x:v>
      </x:c>
    </x:row>
    <x:row r="545">
      <x:c r="A545" s="33" t="str">
        <x:v>2018130013882300</x:v>
      </x:c>
      <x:c r="B545" s="33" t="str">
        <x:v>MINARM / DIRISI / DIRISI Brest - Direction interarmées des réseaux d'infrastructure et des systèmes d'information - Brest</x:v>
      </x:c>
      <x:c r="C545" s="33" t="str">
        <x:v>EIFFAGE ENERGIE SYSTEMES - CLEMESSY</x:v>
      </x:c>
      <x:c r="D545" s="33" t="str">
        <x:v>Fourniture, installation et maintenance de systèmes de centralisation d'alarmes dans divers sites du ministère des armées</x:v>
      </x:c>
      <x:c r="E545" s="33" t="str">
        <x:v>Systèmes d'alarme.</x:v>
      </x:c>
      <x:c r="F545" s="36" t="n">
        <x:v>538614</x:v>
      </x:c>
      <x:c r="G545" s="38" t="n">
        <x:v>43419</x:v>
      </x:c>
      <x:c r="H545" s="38" t="n">
        <x:v>43419</x:v>
      </x:c>
      <x:c r="I545" s="40" t="n">
        <x:v>48</x:v>
      </x:c>
      <x:c r="J545" s="33" t="str"/>
      <x:c r="K545" s="33" t="str"/>
      <x:c r="L545" s="33" t="str">
        <x:v>Révisable</x:v>
      </x:c>
      <x:c r="M545" s="33" t="str">
        <x:v>(29) Finistère</x:v>
      </x:c>
      <x:c r="N545" s="33" t="str">
        <x:v>Oui</x:v>
      </x:c>
      <x:c r="O545" s="33" t="str">
        <x:v>data.gouv.fr_aife</x:v>
      </x:c>
      <x:c r="P545" s="33" t="str">
        <x:v>2018130013882300</x:v>
      </x:c>
    </x:row>
    <x:row r="546">
      <x:c r="A546" s="33" t="str">
        <x:v>2018100013185200</x:v>
      </x:c>
      <x:c r="B546" s="33" t="str">
        <x:v>MINARM / SSF / DSSF Toulon - Direction du service de soutien de la flotte de Toulon - DSSF Toulon</x:v>
      </x:c>
      <x:c r="C546" s="33" t="str">
        <x:v>LE LITTORAL</x:v>
      </x:c>
      <x:c r="D546" s="33" t="str">
        <x:v>Accord cadre M16T20 024 relatif à la fourniture de rechanges de joints d’étanchéité divers pour les besoins nécessaires au maintien en condition opérationnelle des Eléments de la Force Maritime. -</x:v>
      </x:c>
      <x:c r="E546" s="33" t="str">
        <x:v>Pièces pour navires de guerre.</x:v>
      </x:c>
      <x:c r="F546" s="36" t="n">
        <x:v>23362</x:v>
      </x:c>
      <x:c r="G546" s="38" t="n">
        <x:v>43419</x:v>
      </x:c>
      <x:c r="H546" s="38" t="n">
        <x:v>43419</x:v>
      </x:c>
      <x:c r="I546" s="40" t="n">
        <x:v>7</x:v>
      </x:c>
      <x:c r="J546" s="33" t="str">
        <x:v>Marché subséquent</x:v>
      </x:c>
      <x:c r="K546" s="33" t="str">
        <x:v>Appel d'offres ouvert</x:v>
      </x:c>
      <x:c r="L546" s="33" t="str">
        <x:v>Ferme et actualisable</x:v>
      </x:c>
      <x:c r="M546" s="33" t="str">
        <x:v>(83) Var</x:v>
      </x:c>
      <x:c r="N546" s="33" t="str">
        <x:v>Oui</x:v>
      </x:c>
      <x:c r="O546" s="33" t="str">
        <x:v>data.gouv.fr_aife</x:v>
      </x:c>
      <x:c r="P546" s="33" t="str">
        <x:v>2018100013185200</x:v>
      </x:c>
    </x:row>
    <x:row r="547">
      <x:c r="A547" s="33" t="str">
        <x:v>2018150910273400</x:v>
      </x:c>
      <x:c r="B547" s="33" t="str">
        <x:v>MINARM / SGA / SID / ESID Rennes - Etablissement du service d'infrastructure de la défense de Rennes - ESID Rennes</x:v>
      </x:c>
      <x:c r="C547" s="33" t="str">
        <x:v>OTIS</x:v>
      </x:c>
      <x:c r="D547" s="33" t="str">
        <x:v>BASE DE DEFENSE DE CHERBOURG - FOSIT - COMMUNE DE VILLERVILLE (14) - TRAVAUX D'INSTALLATION D'UNE MANCHE D'EVACUATION AU SEMAPHORE DE VILLERVILLE</x:v>
      </x:c>
      <x:c r="E547" s="33" t="str">
        <x:v>Travaux de construction.</x:v>
      </x:c>
      <x:c r="F547" s="36" t="n">
        <x:v>32731</x:v>
      </x:c>
      <x:c r="G547" s="38" t="n">
        <x:v>43419</x:v>
      </x:c>
      <x:c r="H547" s="38" t="n">
        <x:v>43419</x:v>
      </x:c>
      <x:c r="I547" s="40" t="n">
        <x:v>4</x:v>
      </x:c>
      <x:c r="J547" s="33" t="str">
        <x:v>Marché</x:v>
      </x:c>
      <x:c r="K547" s="33" t="str">
        <x:v>Appel d'offres ouvert</x:v>
      </x:c>
      <x:c r="L547" s="33" t="str">
        <x:v>Ferme</x:v>
      </x:c>
      <x:c r="M547" s="33" t="str">
        <x:v>(14) Calvados</x:v>
      </x:c>
      <x:c r="N547" s="33" t="str">
        <x:v>Oui</x:v>
      </x:c>
      <x:c r="O547" s="33" t="str">
        <x:v>data.gouv.fr_aife</x:v>
      </x:c>
      <x:c r="P547" s="33" t="str">
        <x:v>2018150910273400</x:v>
      </x:c>
    </x:row>
    <x:row r="548">
      <x:c r="A548" s="33" t="str">
        <x:v>2018150909751900</x:v>
      </x:c>
      <x:c r="B548" s="33" t="str">
        <x:v>MINARM / SSF / DSSF Brest - Direction du service de soutien de la flotte de Brest - DSSF Brest</x:v>
      </x:c>
      <x:c r="C548" s="33" t="str">
        <x:v>LOGNAV-CM</x:v>
      </x:c>
      <x:c r="D548" s="33" t="str">
        <x:v>Approvisionnement de joints et de garnitures de marques diverses ou équivalents au profit des unités de la Marine Nationale</x:v>
      </x:c>
      <x:c r="E548" s="33" t="str">
        <x:v>Pièces pour navires de guerre.</x:v>
      </x:c>
      <x:c r="F548" s="36" t="n">
        <x:v>6692</x:v>
      </x:c>
      <x:c r="G548" s="38" t="n">
        <x:v>43419</x:v>
      </x:c>
      <x:c r="H548" s="38" t="n">
        <x:v>43419</x:v>
      </x:c>
      <x:c r="I548" s="40" t="n">
        <x:v>2</x:v>
      </x:c>
      <x:c r="J548" s="33" t="str">
        <x:v>Marché</x:v>
      </x:c>
      <x:c r="K548" s="33" t="str">
        <x:v>Procédure adaptée</x:v>
      </x:c>
      <x:c r="L548" s="33" t="str">
        <x:v>Ferme</x:v>
      </x:c>
      <x:c r="M548" s="33" t="str">
        <x:v>(29) Finistère</x:v>
      </x:c>
      <x:c r="N548" s="33" t="str">
        <x:v>Oui</x:v>
      </x:c>
      <x:c r="O548" s="33" t="str">
        <x:v>data.gouv.fr_aife</x:v>
      </x:c>
      <x:c r="P548" s="33" t="str">
        <x:v>2018150909751900</x:v>
      </x:c>
    </x:row>
    <x:row r="549">
      <x:c r="A549" s="33" t="str">
        <x:v>2018150910277000</x:v>
      </x:c>
      <x:c r="B549" s="33" t="str">
        <x:v>MINARM / SSF / DSSF Brest - Direction du service de soutien de la flotte de Brest - DSSF Brest</x:v>
      </x:c>
      <x:c r="C549" s="33" t="str">
        <x:v>LOGNAV-CM</x:v>
      </x:c>
      <x:c r="D549" s="33" t="str">
        <x:v>Approvisionnement de perches de manœuvre et de sauvetage de marque CATU ou équivalent au profit des FREMM.</x:v>
      </x:c>
      <x:c r="E549" s="33" t="str">
        <x:v>Pièces de rechange pour coque et pièces mécaniques pour navires de guerre.</x:v>
      </x:c>
      <x:c r="F549" s="36" t="n">
        <x:v>226</x:v>
      </x:c>
      <x:c r="G549" s="38" t="n">
        <x:v>43419</x:v>
      </x:c>
      <x:c r="H549" s="38" t="n">
        <x:v>43419</x:v>
      </x:c>
      <x:c r="I549" s="40" t="n">
        <x:v>1</x:v>
      </x:c>
      <x:c r="J549" s="33" t="str">
        <x:v>Marché</x:v>
      </x:c>
      <x:c r="K549" s="33" t="str">
        <x:v>Procédure adaptée</x:v>
      </x:c>
      <x:c r="L549" s="33" t="str">
        <x:v>Ferme</x:v>
      </x:c>
      <x:c r="M549" s="33" t="str">
        <x:v>(29) Finistère</x:v>
      </x:c>
      <x:c r="N549" s="33" t="str">
        <x:v>Oui</x:v>
      </x:c>
      <x:c r="O549" s="33" t="str">
        <x:v>data.gouv.fr_aife</x:v>
      </x:c>
      <x:c r="P549" s="33" t="str">
        <x:v>2018150910277000</x:v>
      </x:c>
    </x:row>
    <x:row r="550">
      <x:c r="A550" s="33" t="str">
        <x:v>2018130013916100</x:v>
      </x:c>
      <x:c r="B550" s="33" t="str">
        <x:v>MINARM / SEA / DELPIA - Direction de l'exploitation et de la logistique pétrolières interarmées</x:v>
      </x:c>
      <x:c r="C550" s="33" t="str">
        <x:v>EXTRUPLAST</x:v>
      </x:c>
      <x:c r="D550" s="33" t="str">
        <x:v>Approvisionnement du Service des Essences des Armées (SEA) en liquide lave-glace XS-762 conforme à la spécification DCSEA 617/C, à jour de ses derniers amendements et soumis à homologation préalable de la Direction Centrale du Service des Essences d</x:v>
      </x:c>
      <x:c r="E550" s="33" t="str">
        <x:v>Produits de nettoyage.</x:v>
      </x:c>
      <x:c r="F550" s="36" t="n">
        <x:v>399600</x:v>
      </x:c>
      <x:c r="G550" s="38" t="n">
        <x:v>43419</x:v>
      </x:c>
      <x:c r="H550" s="38" t="n">
        <x:v>43419</x:v>
      </x:c>
      <x:c r="I550" s="40" t="n">
        <x:v>36</x:v>
      </x:c>
      <x:c r="J550" s="33" t="str">
        <x:v>Accord-cadre</x:v>
      </x:c>
      <x:c r="K550" s="33" t="str">
        <x:v>Appel d'offres ouvert</x:v>
      </x:c>
      <x:c r="L550" s="33" t="str">
        <x:v>Révisable</x:v>
      </x:c>
      <x:c r="M550" s="33" t="str">
        <x:v>(51) Marne</x:v>
      </x:c>
      <x:c r="N550" s="33" t="str">
        <x:v>Oui</x:v>
      </x:c>
      <x:c r="O550" s="33" t="str">
        <x:v>data.gouv.fr_aife</x:v>
      </x:c>
      <x:c r="P550" s="33" t="str">
        <x:v>2018130013916100</x:v>
      </x:c>
    </x:row>
    <x:row r="551">
      <x:c r="A551" s="33" t="str">
        <x:v>20182018S8000100</x:v>
      </x:c>
      <x:c r="B551" s="33" t="str">
        <x:v>MINARM / SGA / SID / ESID BREST - Etablissement du service d'infrastructure de la défense de BREST - ESID Brest</x:v>
      </x:c>
      <x:c r="C551" s="33" t="str">
        <x:v>TECHNIQUE ENERGIE ATOMIQUE - TECHNICATOME</x:v>
      </x:c>
      <x:c r="D551" s="33" t="str">
        <x:v>Accord cadre d'assistance à maîtrise d'ouvrage pour l'exercice des fonctions d'autorité de conception de l'ESID de Brest MAC18.</x:v>
      </x:c>
      <x:c r="E551" s="33" t="str">
        <x:v>Services d'assistance dans le domaine de l'ingénierie.</x:v>
      </x:c>
      <x:c r="F551" s="36" t="n">
        <x:v>25000000</x:v>
      </x:c>
      <x:c r="G551" s="38" t="n">
        <x:v>43419</x:v>
      </x:c>
      <x:c r="H551" s="38" t="n">
        <x:v>43419</x:v>
      </x:c>
      <x:c r="I551" s="40" t="n">
        <x:v>84</x:v>
      </x:c>
      <x:c r="J551" s="33" t="str">
        <x:v>Accord-cadre</x:v>
      </x:c>
      <x:c r="K551" s="33" t="str">
        <x:v>Appel d'offres restreint</x:v>
      </x:c>
      <x:c r="L551" s="33" t="str">
        <x:v>Révisable</x:v>
      </x:c>
      <x:c r="M551" s="33" t="str">
        <x:v>(29) Finistère</x:v>
      </x:c>
      <x:c r="N551" s="33" t="str">
        <x:v>Oui</x:v>
      </x:c>
      <x:c r="O551" s="33" t="str">
        <x:v>data.gouv.fr_aife</x:v>
      </x:c>
      <x:c r="P551" s="33" t="str">
        <x:v>20182018S8000100</x:v>
      </x:c>
    </x:row>
    <x:row r="552">
      <x:c r="A552" s="33" t="str">
        <x:v>2018150909398300</x:v>
      </x:c>
      <x:c r="B552" s="33" t="str">
        <x:v>MINARM / SSF / DSSF Brest - Direction du service de soutien de la flotte de Brest - DSSF Brest</x:v>
      </x:c>
      <x:c r="C552" s="33" t="str">
        <x:v>LOGNAV-CM</x:v>
      </x:c>
      <x:c r="D552" s="33" t="str">
        <x:v>Approvisionnement de kits de réparation d'électrovanne191544D de marque GALI FRANCE SA ou équivalent au profit d'un bâtiment de la marine nationale.</x:v>
      </x:c>
      <x:c r="E552" s="33" t="str">
        <x:v>Pièces de rechange pour coque et pièces mécaniques pour navires de guerre.</x:v>
      </x:c>
      <x:c r="F552" s="36" t="n">
        <x:v>556</x:v>
      </x:c>
      <x:c r="G552" s="38" t="n">
        <x:v>43419</x:v>
      </x:c>
      <x:c r="H552" s="38" t="n">
        <x:v>43419</x:v>
      </x:c>
      <x:c r="I552" s="40" t="n">
        <x:v>1</x:v>
      </x:c>
      <x:c r="J552" s="33" t="str">
        <x:v>Marché</x:v>
      </x:c>
      <x:c r="K552" s="33" t="str">
        <x:v>Procédure adaptée</x:v>
      </x:c>
      <x:c r="L552" s="33" t="str">
        <x:v>Ferme</x:v>
      </x:c>
      <x:c r="M552" s="33" t="str">
        <x:v>(29) Finistère</x:v>
      </x:c>
      <x:c r="N552" s="33" t="str">
        <x:v>Oui</x:v>
      </x:c>
      <x:c r="O552" s="33" t="str">
        <x:v>data.gouv.fr_aife</x:v>
      </x:c>
      <x:c r="P552" s="33" t="str">
        <x:v>2018150909398300</x:v>
      </x:c>
    </x:row>
    <x:row r="553">
      <x:c r="A553" s="33" t="str">
        <x:v>2018150909755100</x:v>
      </x:c>
      <x:c r="B553" s="33" t="str">
        <x:v>MINARM / SSF / DSSF Brest - Direction du service de soutien de la flotte de Brest - DSSF Brest</x:v>
      </x:c>
      <x:c r="C553" s="33" t="str">
        <x:v>LOGNAV-CM</x:v>
      </x:c>
      <x:c r="D553" s="33" t="str">
        <x:v>Approvisionnement de rechanges mécaniques de marques diverses ou équivalent au profit des bâtiments de la Marine Nationale</x:v>
      </x:c>
      <x:c r="E553" s="33" t="str">
        <x:v>Pièces de rechange pour coque et pièces mécaniques pour navires de guerre.</x:v>
      </x:c>
      <x:c r="F553" s="36" t="n">
        <x:v>4331</x:v>
      </x:c>
      <x:c r="G553" s="38" t="n">
        <x:v>43419</x:v>
      </x:c>
      <x:c r="H553" s="38" t="n">
        <x:v>43419</x:v>
      </x:c>
      <x:c r="I553" s="40" t="n">
        <x:v>1</x:v>
      </x:c>
      <x:c r="J553" s="33" t="str">
        <x:v>Marché</x:v>
      </x:c>
      <x:c r="K553" s="33" t="str">
        <x:v>Procédure adaptée</x:v>
      </x:c>
      <x:c r="L553" s="33" t="str">
        <x:v>Ferme</x:v>
      </x:c>
      <x:c r="M553" s="33" t="str">
        <x:v>(29) Finistère</x:v>
      </x:c>
      <x:c r="N553" s="33" t="str">
        <x:v>Oui</x:v>
      </x:c>
      <x:c r="O553" s="33" t="str">
        <x:v>data.gouv.fr_aife</x:v>
      </x:c>
      <x:c r="P553" s="33" t="str">
        <x:v>2018150909755100</x:v>
      </x:c>
    </x:row>
    <x:row r="554">
      <x:c r="A554" s="33" t="str">
        <x:v>2018150910394400</x:v>
      </x:c>
      <x:c r="B554" s="33" t="str">
        <x:v>MINARM / SSF / DSSF Toulon - Direction du service de soutien de la flotte de Toulon - DSSF Toulon</x:v>
      </x:c>
      <x:c r="C554" s="33" t="str">
        <x:v>DESAUTEL</x:v>
      </x:c>
      <x:c r="D554" s="33" t="str">
        <x:v>MAPA N° S18T40045 relatif à la fourniture de matériel de protection incendie. DCE V3 -</x:v>
      </x:c>
      <x:c r="E554" s="33" t="str">
        <x:v>Pièces pour navires de guerre.</x:v>
      </x:c>
      <x:c r="F554" s="36" t="n">
        <x:v>54894</x:v>
      </x:c>
      <x:c r="G554" s="38" t="n">
        <x:v>43419</x:v>
      </x:c>
      <x:c r="H554" s="38" t="n">
        <x:v>43419</x:v>
      </x:c>
      <x:c r="I554" s="40" t="n">
        <x:v>3</x:v>
      </x:c>
      <x:c r="J554" s="33" t="str">
        <x:v>Marché</x:v>
      </x:c>
      <x:c r="K554" s="33" t="str">
        <x:v>Appel d'offres ouvert</x:v>
      </x:c>
      <x:c r="L554" s="33" t="str">
        <x:v>Ferme et actualisable</x:v>
      </x:c>
      <x:c r="M554" s="33" t="str">
        <x:v>(83) Var</x:v>
      </x:c>
      <x:c r="N554" s="33" t="str">
        <x:v>Oui</x:v>
      </x:c>
      <x:c r="O554" s="33" t="str">
        <x:v>data.gouv.fr_aife</x:v>
      </x:c>
      <x:c r="P554" s="33" t="str">
        <x:v>2018150910394400</x:v>
      </x:c>
    </x:row>
    <x:row r="555">
      <x:c r="A555" s="33" t="str">
        <x:v>2018100013160300</x:v>
      </x:c>
      <x:c r="B555" s="33" t="str">
        <x:v>MINARM / SGA / SID / ESID Toulon - Etablissement du service d'infrastructure de la défense de Toulon - ESID Toulon</x:v>
      </x:c>
      <x:c r="C555" s="33" t="str">
        <x:v>ENTREPRISE JEAN NEGRI ET FILS</x:v>
      </x:c>
      <x:c r="D555" s="33" t="str">
        <x:v>La présente consultation est passée selon la procédure concurrentielle avec négociation conformément aux dispositions des articles 25, 71 à 73 du décret no 2016-360 du 25 mars 2016 relatif aux marchés publics. - Le présent avis de marché concerne</x:v>
      </x:c>
      <x:c r="E555" s="33" t="str">
        <x:v>Travaux de construction.</x:v>
      </x:c>
      <x:c r="F555" s="36" t="n">
        <x:v>12872793</x:v>
      </x:c>
      <x:c r="G555" s="38" t="n">
        <x:v>43420</x:v>
      </x:c>
      <x:c r="H555" s="38" t="n">
        <x:v>43420</x:v>
      </x:c>
      <x:c r="I555" s="40" t="n">
        <x:v>29</x:v>
      </x:c>
      <x:c r="J555" s="33" t="str">
        <x:v>Marché</x:v>
      </x:c>
      <x:c r="K555" s="33" t="str">
        <x:v>Appel d'offres ouvert</x:v>
      </x:c>
      <x:c r="L555" s="33" t="str">
        <x:v>Révisable</x:v>
      </x:c>
      <x:c r="M555" s="33" t="str">
        <x:v>(83) Var</x:v>
      </x:c>
      <x:c r="N555" s="33" t="str">
        <x:v>Oui</x:v>
      </x:c>
      <x:c r="O555" s="33" t="str">
        <x:v>data.gouv.fr_aife</x:v>
      </x:c>
      <x:c r="P555" s="33" t="str">
        <x:v>2018100013160300</x:v>
      </x:c>
    </x:row>
    <x:row r="556">
      <x:c r="A556" s="33" t="str">
        <x:v>2018130013845900</x:v>
      </x:c>
      <x:c r="B556" s="33" t="str">
        <x:v>MINARM / SCA / PFC Ouest - Plate-forme commissariat Ouest (Rennes)</x:v>
      </x:c>
      <x:c r="C556" s="33" t="str">
        <x:v>HERTRICH FRERES SA</x:v>
      </x:c>
      <x:c r="D556" s="33" t="str">
        <x:v>Fourniture, livraison et installation de cuisinettes au profit des formations soutenues par le Groupement de Soutien de la Base de Défense Angers - Le Mans - Saumur</x:v>
      </x:c>
      <x:c r="E556" s="33" t="str">
        <x:v>Mobilier et agencement de cuisine.</x:v>
      </x:c>
      <x:c r="F556" s="36" t="n">
        <x:v>577160</x:v>
      </x:c>
      <x:c r="G556" s="38" t="n">
        <x:v>43420</x:v>
      </x:c>
      <x:c r="H556" s="38" t="n">
        <x:v>43420</x:v>
      </x:c>
      <x:c r="I556" s="40" t="n">
        <x:v>48</x:v>
      </x:c>
      <x:c r="J556" s="33" t="str"/>
      <x:c r="K556" s="33" t="str"/>
      <x:c r="L556" s="33" t="str"/>
      <x:c r="M556" s="33" t="str">
        <x:v>(44) Loire-Atlantique</x:v>
      </x:c>
      <x:c r="N556" s="33" t="str">
        <x:v>Oui</x:v>
      </x:c>
      <x:c r="O556" s="33" t="str">
        <x:v>data.gouv.fr_aife</x:v>
      </x:c>
      <x:c r="P556" s="33" t="str">
        <x:v>2018130013845900</x:v>
      </x:c>
    </x:row>
    <x:row r="557">
      <x:c r="A557" s="33" t="str">
        <x:v>2018100013154000</x:v>
      </x:c>
      <x:c r="B557" s="33" t="str">
        <x:v>MINARM / DGA / DO / S2A / PROD / DA-BA - Division achats - Toulouse/Balma</x:v>
      </x:c>
      <x:c r="C557" s="33" t="str">
        <x:v>COMPOSITES DISTRIBUTION</x:v>
      </x:c>
      <x:c r="D557" s="33" t="str">
        <x:v>Acquisition de pré-imprégnés, tissus secs et adhésifs pour étude de solutions de réparations</x:v>
      </x:c>
      <x:c r="E557" s="33" t="str">
        <x:v>Produits à base de résine.</x:v>
      </x:c>
      <x:c r="F557" s="36" t="n">
        <x:v>85411</x:v>
      </x:c>
      <x:c r="G557" s="38" t="n">
        <x:v>43420</x:v>
      </x:c>
      <x:c r="H557" s="38" t="n">
        <x:v>43420</x:v>
      </x:c>
      <x:c r="I557" s="40" t="n">
        <x:v>10</x:v>
      </x:c>
      <x:c r="J557" s="33" t="str">
        <x:v>Marché</x:v>
      </x:c>
      <x:c r="K557" s="33" t="str"/>
      <x:c r="L557" s="33" t="str">
        <x:v>Ferme</x:v>
      </x:c>
      <x:c r="M557" s="33" t="str">
        <x:v>(31) Haute-Garonne</x:v>
      </x:c>
      <x:c r="N557" s="33" t="str">
        <x:v>Oui</x:v>
      </x:c>
      <x:c r="O557" s="33" t="str">
        <x:v>data.gouv.fr_aife</x:v>
      </x:c>
      <x:c r="P557" s="33" t="str">
        <x:v>2018100013154000</x:v>
      </x:c>
    </x:row>
    <x:row r="558">
      <x:c r="A558" s="33" t="str">
        <x:v>2018100013186600</x:v>
      </x:c>
      <x:c r="B558" s="33" t="str">
        <x:v>MINARM / SSF / DSSF Toulon - Direction du service de soutien de la flotte de Toulon - DSSF Toulon</x:v>
      </x:c>
      <x:c r="C558" s="33" t="str">
        <x:v>LE LITTORAL</x:v>
      </x:c>
      <x:c r="D558" s="33" t="str">
        <x:v>Accord cadre N° 2016M16T20 003 relatif à la fourniture de matériels de quincaillerie et d'outillage naval. -</x:v>
      </x:c>
      <x:c r="E558" s="33" t="str">
        <x:v>Quincaillerie.</x:v>
      </x:c>
      <x:c r="F558" s="36" t="n">
        <x:v>1806</x:v>
      </x:c>
      <x:c r="G558" s="38" t="n">
        <x:v>43420</x:v>
      </x:c>
      <x:c r="H558" s="38" t="n">
        <x:v>43420</x:v>
      </x:c>
      <x:c r="I558" s="40" t="n">
        <x:v>12</x:v>
      </x:c>
      <x:c r="J558" s="33" t="str">
        <x:v>Marché subséquent</x:v>
      </x:c>
      <x:c r="K558" s="33" t="str">
        <x:v>Appel d'offres ouvert</x:v>
      </x:c>
      <x:c r="L558" s="33" t="str">
        <x:v>Ferme et actualisable</x:v>
      </x:c>
      <x:c r="M558" s="33" t="str">
        <x:v>(83) Var</x:v>
      </x:c>
      <x:c r="N558" s="33" t="str">
        <x:v>Oui</x:v>
      </x:c>
      <x:c r="O558" s="33" t="str">
        <x:v>data.gouv.fr_aife</x:v>
      </x:c>
      <x:c r="P558" s="33" t="str">
        <x:v>2018100013186600</x:v>
      </x:c>
    </x:row>
    <x:row r="559">
      <x:c r="A559" s="33" t="str">
        <x:v>2018170009004300</x:v>
      </x:c>
      <x:c r="B559" s="33" t="str">
        <x:v>MINARM / SCA / PFC Ouest - Plate-forme commissariat Ouest (Rennes)</x:v>
      </x:c>
      <x:c r="C559" s="33" t="str">
        <x:v>CAE-AVIATION</x:v>
      </x:c>
      <x:c r="D559" s="33" t="str">
        <x:v>Réalisation de formations des opérateurs caméras WESCAM MX-15 DI, MX-20 et MX20 D au profit de l'escadron de transport tactique 3/61 POITOU.</x:v>
      </x:c>
      <x:c r="E559" s="33" t="str">
        <x:v>Services de formation professionnelle.</x:v>
      </x:c>
      <x:c r="F559" s="36" t="n">
        <x:v>45000</x:v>
      </x:c>
      <x:c r="G559" s="38" t="n">
        <x:v>43420</x:v>
      </x:c>
      <x:c r="H559" s="38" t="n">
        <x:v>43420</x:v>
      </x:c>
      <x:c r="I559" s="40" t="n">
        <x:v>48</x:v>
      </x:c>
      <x:c r="J559" s="33" t="str">
        <x:v>Accord-cadre</x:v>
      </x:c>
      <x:c r="K559" s="33" t="str">
        <x:v>Procédure adaptée</x:v>
      </x:c>
      <x:c r="L559" s="33" t="str">
        <x:v>Révisable</x:v>
      </x:c>
      <x:c r="M559" s="33" t="str">
        <x:v>(45) Loiret</x:v>
      </x:c>
      <x:c r="N559" s="33" t="str">
        <x:v>Oui</x:v>
      </x:c>
      <x:c r="O559" s="33" t="str">
        <x:v>data.gouv.fr_aife</x:v>
      </x:c>
      <x:c r="P559" s="33" t="str">
        <x:v>2018170009004300</x:v>
      </x:c>
    </x:row>
    <x:row r="560">
      <x:c r="A560" s="33" t="str">
        <x:v>2018150911991500</x:v>
      </x:c>
      <x:c r="B560" s="33" t="str">
        <x:v>MINARM / SSF / DSSF Brest - Direction du service de soutien de la flotte de Brest - DSSF Brest</x:v>
      </x:c>
      <x:c r="C560" s="33" t="str">
        <x:v>SUD MOTEURS ATLANTIQUE</x:v>
      </x:c>
      <x:c r="D560" s="33" t="str">
        <x:v>Approvisionnement d’une roue de compresseur et de bagues d’étanchéité de marques diverses ou équivalents au profit des bâtiments de la Marine Nationale</x:v>
      </x:c>
      <x:c r="E560" s="33" t="str">
        <x:v>Pièces pour navires de guerre.</x:v>
      </x:c>
      <x:c r="F560" s="36" t="n">
        <x:v>5850</x:v>
      </x:c>
      <x:c r="G560" s="38" t="n">
        <x:v>43420</x:v>
      </x:c>
      <x:c r="H560" s="38" t="n">
        <x:v>43420</x:v>
      </x:c>
      <x:c r="I560" s="40" t="n">
        <x:v>1</x:v>
      </x:c>
      <x:c r="J560" s="33" t="str">
        <x:v>Marché</x:v>
      </x:c>
      <x:c r="K560" s="33" t="str">
        <x:v>Procédure adaptée</x:v>
      </x:c>
      <x:c r="L560" s="33" t="str">
        <x:v>Ferme</x:v>
      </x:c>
      <x:c r="M560" s="33" t="str">
        <x:v>(29) Finistère</x:v>
      </x:c>
      <x:c r="N560" s="33" t="str">
        <x:v>Oui</x:v>
      </x:c>
      <x:c r="O560" s="33" t="str">
        <x:v>data.gouv.fr_aife</x:v>
      </x:c>
      <x:c r="P560" s="33" t="str">
        <x:v>2018150911991500</x:v>
      </x:c>
    </x:row>
    <x:row r="561">
      <x:c r="A561" s="33" t="str">
        <x:v>2018100013174200</x:v>
      </x:c>
      <x:c r="B561" s="33" t="str">
        <x:v>MINARM / SSF / DSSF Toulon - Direction du service de soutien de la flotte de Toulon - DSSF Toulon</x:v>
      </x:c>
      <x:c r="C561" s="33" t="str">
        <x:v>CADIF</x:v>
      </x:c>
      <x:c r="D561" s="33" t="str">
        <x:v>Marché négocié n° A18T20021 relatif à la fourniture de lances incendie MIDMATIC et MIDFORCE, et - d’adaptateurs polymousse, de marque TFT, pour les bâtiments de la Marine nationale -</x:v>
      </x:c>
      <x:c r="E561" s="33" t="str">
        <x:v>Pièces pour navires de guerre.</x:v>
      </x:c>
      <x:c r="F561" s="36" t="n">
        <x:v>226778</x:v>
      </x:c>
      <x:c r="G561" s="38" t="n">
        <x:v>43420</x:v>
      </x:c>
      <x:c r="H561" s="38" t="n">
        <x:v>43420</x:v>
      </x:c>
      <x:c r="I561" s="40" t="n">
        <x:v>14</x:v>
      </x:c>
      <x:c r="J561" s="33" t="str">
        <x:v>Marché</x:v>
      </x:c>
      <x:c r="K561" s="33" t="str">
        <x:v>Appel d'offres ouvert</x:v>
      </x:c>
      <x:c r="L561" s="33" t="str">
        <x:v>Ferme et actualisable</x:v>
      </x:c>
      <x:c r="M561" s="33" t="str">
        <x:v>(83) Var</x:v>
      </x:c>
      <x:c r="N561" s="33" t="str">
        <x:v>Oui</x:v>
      </x:c>
      <x:c r="O561" s="33" t="str">
        <x:v>data.gouv.fr_aife</x:v>
      </x:c>
      <x:c r="P561" s="33" t="str">
        <x:v>2018100013174200</x:v>
      </x:c>
    </x:row>
    <x:row r="562">
      <x:c r="A562" s="33" t="str">
        <x:v>2018120005896300</x:v>
      </x:c>
      <x:c r="B562" s="33" t="str">
        <x:v>MINARM / SSF / DSSF Toulon - Direction du service de soutien de la flotte de Toulon - DSSF Toulon</x:v>
      </x:c>
      <x:c r="C562" s="33" t="str">
        <x:v>ZODIAC MILPRO INTERNATIONAL</x:v>
      </x:c>
      <x:c r="D562" s="33" t="str">
        <x:v>Fourniture d'embarcations de sûreté maritime et portuaires et prestations associées. -</x:v>
      </x:c>
      <x:c r="E562" s="33" t="str">
        <x:v>Embarcations pneumatiques.</x:v>
      </x:c>
      <x:c r="F562" s="36" t="n">
        <x:v>2707066</x:v>
      </x:c>
      <x:c r="G562" s="38" t="n">
        <x:v>43420</x:v>
      </x:c>
      <x:c r="H562" s="38" t="n">
        <x:v>43420</x:v>
      </x:c>
      <x:c r="I562" s="40" t="n">
        <x:v>60</x:v>
      </x:c>
      <x:c r="J562" s="33" t="str">
        <x:v>Marché subséquent</x:v>
      </x:c>
      <x:c r="K562" s="33" t="str">
        <x:v>Appel d'offres ouvert</x:v>
      </x:c>
      <x:c r="L562" s="33" t="str">
        <x:v>Ferme et actualisable</x:v>
      </x:c>
      <x:c r="M562" s="33" t="str">
        <x:v>(83) Var</x:v>
      </x:c>
      <x:c r="N562" s="33" t="str">
        <x:v>Oui</x:v>
      </x:c>
      <x:c r="O562" s="33" t="str">
        <x:v>data.gouv.fr_aife</x:v>
      </x:c>
      <x:c r="P562" s="33" t="str">
        <x:v>2018120005896300</x:v>
      </x:c>
    </x:row>
    <x:row r="563">
      <x:c r="A563" s="33" t="str">
        <x:v>2018130013923300</x:v>
      </x:c>
      <x:c r="B563" s="33" t="str">
        <x:v>MINARM / DIRISI - Direction Interarmées des Réseaux d'Infrastructure et des Systèmes d'Information de la défense</x:v>
      </x:c>
      <x:c r="C563" s="33" t="str">
        <x:v>AUSY</x:v>
      </x:c>
      <x:c r="D563" s="33" t="str">
        <x:v>MS 2 - Tierce maintenance applicative et réalisation de modules du SI CONDORH au profit de la DGA</x:v>
      </x:c>
      <x:c r="E563" s="33" t="str">
        <x:v>Services de développement des applications serveur Internet ou intranet .</x:v>
      </x:c>
      <x:c r="F563" s="36" t="n">
        <x:v>286660</x:v>
      </x:c>
      <x:c r="G563" s="38" t="n">
        <x:v>43420</x:v>
      </x:c>
      <x:c r="H563" s="38" t="n">
        <x:v>43420</x:v>
      </x:c>
      <x:c r="I563" s="40" t="n">
        <x:v>48</x:v>
      </x:c>
      <x:c r="J563" s="33" t="str"/>
      <x:c r="K563" s="33" t="str"/>
      <x:c r="L563" s="33" t="str"/>
      <x:c r="M563" s="33" t="str">
        <x:v>(94) Val-de-Marne</x:v>
      </x:c>
      <x:c r="N563" s="33" t="str">
        <x:v>Oui</x:v>
      </x:c>
      <x:c r="O563" s="33" t="str">
        <x:v>data.gouv.fr_aife</x:v>
      </x:c>
      <x:c r="P563" s="33" t="str">
        <x:v>2018130013923300</x:v>
      </x:c>
    </x:row>
    <x:row r="564">
      <x:c r="A564" s="33" t="str">
        <x:v>20182018S9338300</x:v>
      </x:c>
      <x:c r="B564" s="33" t="str">
        <x:v>MINARM / ESTM / EPA / ENSTA Bretagne - Ecole Nationale Supérieure de Techniques Avancées Bretagne (ENSTA Bretagne)</x:v>
      </x:c>
      <x:c r="C564" s="33" t="str">
        <x:v>OMR IMPRESSION</x:v>
      </x:c>
      <x:c r="D564" s="33" t="str">
        <x:v>Location et maintenance de petites machines de reproduction</x:v>
      </x:c>
      <x:c r="E564" s="33" t="str">
        <x:v>Photocopieurs et matériel d'impression offset.</x:v>
      </x:c>
      <x:c r="F564" s="36" t="n">
        <x:v>60000</x:v>
      </x:c>
      <x:c r="G564" s="38" t="n">
        <x:v>43420</x:v>
      </x:c>
      <x:c r="H564" s="38" t="n">
        <x:v>43420</x:v>
      </x:c>
      <x:c r="I564" s="40" t="n">
        <x:v>48</x:v>
      </x:c>
      <x:c r="J564" s="33" t="str">
        <x:v>Marché</x:v>
      </x:c>
      <x:c r="K564" s="33" t="str">
        <x:v>Procédure adaptée</x:v>
      </x:c>
      <x:c r="L564" s="33" t="str">
        <x:v>Ferme</x:v>
      </x:c>
      <x:c r="M564" s="33" t="str">
        <x:v>(29) Finistère</x:v>
      </x:c>
      <x:c r="N564" s="33" t="str">
        <x:v>Oui</x:v>
      </x:c>
      <x:c r="O564" s="33" t="str">
        <x:v>data.gouv.fr_aife</x:v>
      </x:c>
      <x:c r="P564" s="33" t="str">
        <x:v>20182018S9338300</x:v>
      </x:c>
    </x:row>
    <x:row r="565">
      <x:c r="A565" s="33" t="str">
        <x:v>2018150910275100</x:v>
      </x:c>
      <x:c r="B565" s="33" t="str">
        <x:v>MINARM / SGA / SID / ESID BREST - Etablissement du service d'infrastructure de la défense de BREST - ESID Brest</x:v>
      </x:c>
      <x:c r="C565" s="33" t="str">
        <x:v>QCS SERVICES</x:v>
      </x:c>
      <x:c r="D565" s="33" t="str">
        <x:v>IGeSA (56170 Quiberon) - Village vacances de Fort Haliguen - SSI restauration - Diagnostic des dispositions et équipements concourant à la sécurité incendie</x:v>
      </x:c>
      <x:c r="E565" s="33" t="str">
        <x:v>Services relatifs aux aspects économiques de la construction.</x:v>
      </x:c>
      <x:c r="F565" s="36" t="n">
        <x:v>1800</x:v>
      </x:c>
      <x:c r="G565" s="38" t="n">
        <x:v>43420</x:v>
      </x:c>
      <x:c r="H565" s="38" t="n">
        <x:v>43420</x:v>
      </x:c>
      <x:c r="I565" s="40" t="n">
        <x:v>2</x:v>
      </x:c>
      <x:c r="J565" s="33" t="str">
        <x:v>Marché</x:v>
      </x:c>
      <x:c r="K565" s="33" t="str">
        <x:v>Procédure adaptée</x:v>
      </x:c>
      <x:c r="L565" s="33" t="str">
        <x:v>Ferme et actualisable</x:v>
      </x:c>
      <x:c r="M565" s="33" t="str">
        <x:v>(56) Morbihan</x:v>
      </x:c>
      <x:c r="N565" s="33" t="str">
        <x:v>Oui</x:v>
      </x:c>
      <x:c r="O565" s="33" t="str">
        <x:v>data.gouv.fr_aife</x:v>
      </x:c>
      <x:c r="P565" s="33" t="str">
        <x:v>2018150910275100</x:v>
      </x:c>
    </x:row>
    <x:row r="566">
      <x:c r="A566" s="33" t="str">
        <x:v>2018150911054100</x:v>
      </x:c>
      <x:c r="B566" s="33" t="str">
        <x:v>MINARM / SGA / SID / ESID BREST - Etablissement du service d'infrastructure de la défense de BREST - ESID Brest</x:v>
      </x:c>
      <x:c r="C566" s="33" t="str">
        <x:v>SUEZ RR IWS REMEDIATION FRANCE</x:v>
      </x:c>
      <x:c r="D566" s="33" t="str">
        <x:v>Commune de Lanester-BASEFUSCO-Stand de tir PA-PM- Purge partielle de la butte de tir</x:v>
      </x:c>
      <x:c r="E566" s="33" t="str">
        <x:v>Travaux de décontamination du sol.</x:v>
      </x:c>
      <x:c r="F566" s="36" t="n">
        <x:v>39331</x:v>
      </x:c>
      <x:c r="G566" s="38" t="n">
        <x:v>43420</x:v>
      </x:c>
      <x:c r="H566" s="38" t="n">
        <x:v>43420</x:v>
      </x:c>
      <x:c r="I566" s="40" t="n">
        <x:v>2</x:v>
      </x:c>
      <x:c r="J566" s="33" t="str">
        <x:v>Marché</x:v>
      </x:c>
      <x:c r="K566" s="33" t="str">
        <x:v>Procédure adaptée</x:v>
      </x:c>
      <x:c r="L566" s="33" t="str">
        <x:v>Ferme et actualisable</x:v>
      </x:c>
      <x:c r="M566" s="33" t="str">
        <x:v>(56) Morbihan</x:v>
      </x:c>
      <x:c r="N566" s="33" t="str">
        <x:v>Oui</x:v>
      </x:c>
      <x:c r="O566" s="33" t="str">
        <x:v>data.gouv.fr_aife</x:v>
      </x:c>
      <x:c r="P566" s="33" t="str">
        <x:v>2018150911054100</x:v>
      </x:c>
    </x:row>
    <x:row r="567">
      <x:c r="A567" s="33" t="str">
        <x:v>2018180005201100</x:v>
      </x:c>
      <x:c r="B567" s="33" t="str">
        <x:v>MINARM / SGA / SPAC - Service Parisien de Soutien de l'Administration Centrale - SPAC</x:v>
      </x:c>
      <x:c r="C567" s="33" t="str">
        <x:v>THIERRY DERVAUX SARL</x:v>
      </x:c>
      <x:c r="D567" s="33" t="str">
        <x:v>Aménagement temporaire de l’esplanade du quai Branly à Paris (7e arrondissement), dans le cadre de la cérémonie commémorant la journée nationale d’hommage aux « morts pour la France » de la guerre d’Algérie et les combats du Maroc et de la</x:v>
      </x:c>
      <x:c r="E567" s="33" t="str">
        <x:v>Services d'organisation d'évènements .</x:v>
      </x:c>
      <x:c r="F567" s="36" t="n">
        <x:v>11800</x:v>
      </x:c>
      <x:c r="G567" s="38" t="n">
        <x:v>43420</x:v>
      </x:c>
      <x:c r="H567" s="38" t="n">
        <x:v>43420</x:v>
      </x:c>
      <x:c r="I567" s="40" t="n">
        <x:v>2</x:v>
      </x:c>
      <x:c r="J567" s="33" t="str">
        <x:v>Accord-cadre</x:v>
      </x:c>
      <x:c r="K567" s="33" t="str">
        <x:v>Procédure adaptée</x:v>
      </x:c>
      <x:c r="L567" s="33" t="str">
        <x:v>Ferme</x:v>
      </x:c>
      <x:c r="M567" s="33" t="str">
        <x:v>(75) Paris</x:v>
      </x:c>
      <x:c r="N567" s="33" t="str">
        <x:v>Oui</x:v>
      </x:c>
      <x:c r="O567" s="33" t="str">
        <x:v>data.gouv.fr_aife</x:v>
      </x:c>
      <x:c r="P567" s="33" t="str">
        <x:v>2018180005201100</x:v>
      </x:c>
    </x:row>
    <x:row r="568">
      <x:c r="A568" s="33" t="str">
        <x:v>2018100013185000</x:v>
      </x:c>
      <x:c r="B568" s="33" t="str">
        <x:v>MINARM / SSF / DSSF Brest - Direction du service de soutien de la flotte de Brest - DSSF Brest</x:v>
      </x:c>
      <x:c r="C568" s="33" t="str">
        <x:v>AART ELECTRONICS</x:v>
      </x:c>
      <x:c r="D568" s="33" t="str">
        <x:v>Fourniture de composants électriques et d'éclairage de marques diverses ou équivalents destinés aux bâtiments et unités à terre de la marine nationale</x:v>
      </x:c>
      <x:c r="E568" s="33" t="str">
        <x:v>Machines, appareils, équipements et consommables électriques ; éclairage.</x:v>
      </x:c>
      <x:c r="F568" s="36" t="n">
        <x:v>3264</x:v>
      </x:c>
      <x:c r="G568" s="38" t="n">
        <x:v>43420</x:v>
      </x:c>
      <x:c r="H568" s="38" t="n">
        <x:v>43420</x:v>
      </x:c>
      <x:c r="I568" s="40" t="n">
        <x:v>1</x:v>
      </x:c>
      <x:c r="J568" s="33" t="str">
        <x:v>Marché subséquent</x:v>
      </x:c>
      <x:c r="K568" s="33" t="str"/>
      <x:c r="L568" s="33" t="str">
        <x:v>Ferme</x:v>
      </x:c>
      <x:c r="M568" s="33" t="str">
        <x:v>(29) Finistère</x:v>
      </x:c>
      <x:c r="N568" s="33" t="str">
        <x:v>Oui</x:v>
      </x:c>
      <x:c r="O568" s="33" t="str">
        <x:v>data.gouv.fr_aife</x:v>
      </x:c>
      <x:c r="P568" s="33" t="str">
        <x:v>2018100013185000</x:v>
      </x:c>
    </x:row>
    <x:row r="569">
      <x:c r="A569" s="33" t="str">
        <x:v>2018150910273800</x:v>
      </x:c>
      <x:c r="B569" s="33" t="str">
        <x:v>MINARM / SGA / SID / ESID BREST - Etablissement du service d'infrastructure de la défense de BREST - ESID Brest</x:v>
      </x:c>
      <x:c r="C569" s="33" t="str">
        <x:v>SATEM</x:v>
      </x:c>
      <x:c r="D569" s="33" t="str">
        <x:v>IGeSA (56 260 LARMOR) - Centre de vacances de Locqueltas - Réfection du revêtement de sol de la salle Jean Lagarde</x:v>
      </x:c>
      <x:c r="E569" s="33" t="str">
        <x:v>Travaux de pose de revêtements de sols.</x:v>
      </x:c>
      <x:c r="F569" s="36" t="n">
        <x:v>34200</x:v>
      </x:c>
      <x:c r="G569" s="38" t="n">
        <x:v>43420</x:v>
      </x:c>
      <x:c r="H569" s="38" t="n">
        <x:v>43420</x:v>
      </x:c>
      <x:c r="I569" s="40" t="n">
        <x:v>1</x:v>
      </x:c>
      <x:c r="J569" s="33" t="str">
        <x:v>Marché</x:v>
      </x:c>
      <x:c r="K569" s="33" t="str">
        <x:v>Procédure adaptée</x:v>
      </x:c>
      <x:c r="L569" s="33" t="str">
        <x:v>Ferme</x:v>
      </x:c>
      <x:c r="M569" s="33" t="str">
        <x:v>(56) Morbihan</x:v>
      </x:c>
      <x:c r="N569" s="33" t="str">
        <x:v>Oui</x:v>
      </x:c>
      <x:c r="O569" s="33" t="str">
        <x:v>data.gouv.fr_aife</x:v>
      </x:c>
      <x:c r="P569" s="33" t="str">
        <x:v>2018150910273800</x:v>
      </x:c>
    </x:row>
    <x:row r="570">
      <x:c r="A570" s="33" t="str">
        <x:v>2018170008985200</x:v>
      </x:c>
      <x:c r="B570" s="33" t="str">
        <x:v>MINARM / SCA / PFC Ouest - Plate-forme commissariat Ouest (Rennes)</x:v>
      </x:c>
      <x:c r="C570" s="33" t="str">
        <x:v>VISIATIV SOLUTIONS ENTREPRISE</x:v>
      </x:c>
      <x:c r="D570" s="33" t="str">
        <x:v>Réalisation de formations SolidWorks avancée au profit des personnels militaires et civils des unités du Service Logistique de la Marine de Toulon et du Centre d’expertise des programmes aéronautique de la BAN HYERES (CEPA 10S) dépendant du CECME</x:v>
      </x:c>
      <x:c r="E570" s="33" t="str">
        <x:v>Services de formation spécialisée.</x:v>
      </x:c>
      <x:c r="F570" s="36" t="n">
        <x:v>105000</x:v>
      </x:c>
      <x:c r="G570" s="38" t="n">
        <x:v>43420</x:v>
      </x:c>
      <x:c r="H570" s="38" t="n">
        <x:v>43420</x:v>
      </x:c>
      <x:c r="I570" s="40" t="n">
        <x:v>48</x:v>
      </x:c>
      <x:c r="J570" s="33" t="str">
        <x:v>Accord-cadre</x:v>
      </x:c>
      <x:c r="K570" s="33" t="str">
        <x:v>Appel d'offres ouvert</x:v>
      </x:c>
      <x:c r="L570" s="33" t="str">
        <x:v>Révisable</x:v>
      </x:c>
      <x:c r="M570" s="33" t="str">
        <x:v>(83) Var</x:v>
      </x:c>
      <x:c r="N570" s="33" t="str">
        <x:v>Oui</x:v>
      </x:c>
      <x:c r="O570" s="33" t="str">
        <x:v>data.gouv.fr_aife</x:v>
      </x:c>
      <x:c r="P570" s="33" t="str">
        <x:v>2018170008985200</x:v>
      </x:c>
    </x:row>
    <x:row r="571">
      <x:c r="A571" s="33" t="str">
        <x:v>2018150907828200</x:v>
      </x:c>
      <x:c r="B571" s="33" t="str">
        <x:v>MINARM / DGA / DO / S2A / PROD / DA-BA - Division achats - Toulouse/Balma</x:v>
      </x:c>
      <x:c r="C571" s="33" t="str">
        <x:v>OLYMPUS FRANCE</x:v>
      </x:c>
      <x:c r="D571" s="33" t="str">
        <x:v>Acquisition d'un appareil de contrôle par courant de Foucault</x:v>
      </x:c>
      <x:c r="E571" s="33" t="str">
        <x:v>Instruments de contrôle de propriétés physiques.</x:v>
      </x:c>
      <x:c r="F571" s="36" t="n">
        <x:v>15095</x:v>
      </x:c>
      <x:c r="G571" s="38" t="n">
        <x:v>43420</x:v>
      </x:c>
      <x:c r="H571" s="38" t="n">
        <x:v>43420</x:v>
      </x:c>
      <x:c r="I571" s="40" t="n">
        <x:v>2</x:v>
      </x:c>
      <x:c r="J571" s="33" t="str">
        <x:v>Marché</x:v>
      </x:c>
      <x:c r="K571" s="33" t="str">
        <x:v>Procédure adaptée</x:v>
      </x:c>
      <x:c r="L571" s="33" t="str">
        <x:v>Ferme</x:v>
      </x:c>
      <x:c r="M571" s="33" t="str">
        <x:v>(31) Haute-Garonne</x:v>
      </x:c>
      <x:c r="N571" s="33" t="str">
        <x:v>Oui</x:v>
      </x:c>
      <x:c r="O571" s="33" t="str">
        <x:v>data.gouv.fr_aife</x:v>
      </x:c>
      <x:c r="P571" s="33" t="str">
        <x:v>2018150907828200</x:v>
      </x:c>
    </x:row>
    <x:row r="572">
      <x:c r="A572" s="33" t="str">
        <x:v>2018130013898400</x:v>
      </x:c>
      <x:c r="B572" s="33" t="str">
        <x:v>MINARM / DGA / DO / S2A / PROD / DA-SE - Division achats - Sud-Est</x:v>
      </x:c>
      <x:c r="C572" s="33" t="str">
        <x:v>IXBLUE</x:v>
      </x:c>
      <x:c r="D572" s="33" t="str">
        <x:v>Fourniture de systèmes de localisation sous-marine</x:v>
      </x:c>
      <x:c r="E572" s="33" t="str">
        <x:v>Systèmes de positionnement à capacité globale (GPS ou équivalent).</x:v>
      </x:c>
      <x:c r="F572" s="36" t="n">
        <x:v>1000000</x:v>
      </x:c>
      <x:c r="G572" s="38" t="n">
        <x:v>43420</x:v>
      </x:c>
      <x:c r="H572" s="38" t="n">
        <x:v>43420</x:v>
      </x:c>
      <x:c r="I572" s="40" t="n">
        <x:v>48</x:v>
      </x:c>
      <x:c r="J572" s="33" t="str">
        <x:v>Accord-cadre</x:v>
      </x:c>
      <x:c r="K572" s="33" t="str"/>
      <x:c r="L572" s="33" t="str">
        <x:v>Révisable</x:v>
      </x:c>
      <x:c r="M572" s="33" t="str">
        <x:v>(29) Finistère</x:v>
      </x:c>
      <x:c r="N572" s="33" t="str">
        <x:v>Oui</x:v>
      </x:c>
      <x:c r="O572" s="33" t="str">
        <x:v>data.gouv.fr_aife</x:v>
      </x:c>
      <x:c r="P572" s="33" t="str">
        <x:v>2018130013898400</x:v>
      </x:c>
    </x:row>
    <x:row r="573">
      <x:c r="A573" s="33" t="str">
        <x:v>20182018F5086500</x:v>
      </x:c>
      <x:c r="B573" s="33" t="str">
        <x:v>MINARM / ESTM / EPA / CBdD BREST - CERCLE DE LA BASE DE DEFENSE DE BREST-LORIENT</x:v>
      </x:c>
      <x:c r="C573" s="33" t="str">
        <x:v>EDENRED FRANCE</x:v>
      </x:c>
      <x:c r="D573" s="33" t="str">
        <x:v>achat de chèques cadeaux, pour l'arbre de Noël 2018, au profit des enfants - du personnel de la base de défense de Brest-Lorient</x:v>
      </x:c>
      <x:c r="E573" s="33" t="str">
        <x:v>Formules de chèque.</x:v>
      </x:c>
      <x:c r="F573" s="36" t="n">
        <x:v>228240</x:v>
      </x:c>
      <x:c r="G573" s="38" t="n">
        <x:v>43420</x:v>
      </x:c>
      <x:c r="H573" s="38" t="n">
        <x:v>43420</x:v>
      </x:c>
      <x:c r="I573" s="40" t="n">
        <x:v>3</x:v>
      </x:c>
      <x:c r="J573" s="33" t="str">
        <x:v>Marché</x:v>
      </x:c>
      <x:c r="K573" s="33" t="str">
        <x:v>Appel d'offres ouvert</x:v>
      </x:c>
      <x:c r="L573" s="33" t="str">
        <x:v>Ferme</x:v>
      </x:c>
      <x:c r="M573" s="33" t="str">
        <x:v>(29) Finistère</x:v>
      </x:c>
      <x:c r="N573" s="33" t="str">
        <x:v>Oui</x:v>
      </x:c>
      <x:c r="O573" s="33" t="str">
        <x:v>data.gouv.fr_aife</x:v>
      </x:c>
      <x:c r="P573" s="33" t="str">
        <x:v>20182018F5086500</x:v>
      </x:c>
    </x:row>
    <x:row r="574">
      <x:c r="A574" s="33" t="str">
        <x:v>2018150912808900</x:v>
      </x:c>
      <x:c r="B574" s="33" t="str">
        <x:v>MINARM / SGA / SID / ESID Rennes - Etablissement du service d'infrastructure de la défense de Rennes - ESID Rennes</x:v>
      </x:c>
      <x:c r="C574" s="33" t="str">
        <x:v>P.M. INSTRUMENTATION</x:v>
      </x:c>
      <x:c r="D574" s="33" t="str">
        <x:v>CHERBOURG (50) - Port militaire - Zone Cachin - Forme de radoub - réparation et réglage de 10 inclinomètres.</x:v>
      </x:c>
      <x:c r="E574" s="33" t="str">
        <x:v>Services d'installation de machines et d'équipements à usage général.</x:v>
      </x:c>
      <x:c r="F574" s="36" t="n">
        <x:v>40061</x:v>
      </x:c>
      <x:c r="G574" s="38" t="n">
        <x:v>43423</x:v>
      </x:c>
      <x:c r="H574" s="38" t="n">
        <x:v>43423</x:v>
      </x:c>
      <x:c r="I574" s="40" t="n">
        <x:v>12</x:v>
      </x:c>
      <x:c r="J574" s="33" t="str">
        <x:v>Marché</x:v>
      </x:c>
      <x:c r="K574" s="33" t="str">
        <x:v>Appel d'offres ouvert</x:v>
      </x:c>
      <x:c r="L574" s="33" t="str">
        <x:v>Ferme</x:v>
      </x:c>
      <x:c r="M574" s="33" t="str">
        <x:v>(50) Manche</x:v>
      </x:c>
      <x:c r="N574" s="33" t="str">
        <x:v>Oui</x:v>
      </x:c>
      <x:c r="O574" s="33" t="str">
        <x:v>data.gouv.fr_aife</x:v>
      </x:c>
      <x:c r="P574" s="33" t="str">
        <x:v>2018150912808900</x:v>
      </x:c>
    </x:row>
    <x:row r="575">
      <x:c r="A575" s="33" t="str">
        <x:v>2018150910276800</x:v>
      </x:c>
      <x:c r="B575" s="33" t="str">
        <x:v>MINARM / SSF / DSSF Brest - Direction du service de soutien de la flotte de Brest - DSSF Brest</x:v>
      </x:c>
      <x:c r="C575" s="33" t="str">
        <x:v>LE LITTORAL</x:v>
      </x:c>
      <x:c r="D575" s="33" t="str">
        <x:v>Approvisionnement de jumelles de marque FUJIFILM CORPORATION ou équivalentes au profit d'un bâtiment de la marine nationale.</x:v>
      </x:c>
      <x:c r="E575" s="33" t="str">
        <x:v>Pièces de rechange pour coque et pièces mécaniques pour navires de guerre.</x:v>
      </x:c>
      <x:c r="F575" s="36" t="n">
        <x:v>12738</x:v>
      </x:c>
      <x:c r="G575" s="38" t="n">
        <x:v>43423</x:v>
      </x:c>
      <x:c r="H575" s="38" t="n">
        <x:v>43423</x:v>
      </x:c>
      <x:c r="I575" s="40" t="n">
        <x:v>2</x:v>
      </x:c>
      <x:c r="J575" s="33" t="str">
        <x:v>Marché</x:v>
      </x:c>
      <x:c r="K575" s="33" t="str">
        <x:v>Procédure adaptée</x:v>
      </x:c>
      <x:c r="L575" s="33" t="str">
        <x:v>Ferme</x:v>
      </x:c>
      <x:c r="M575" s="33" t="str">
        <x:v>(29) Finistère</x:v>
      </x:c>
      <x:c r="N575" s="33" t="str">
        <x:v>Oui</x:v>
      </x:c>
      <x:c r="O575" s="33" t="str">
        <x:v>data.gouv.fr_aife</x:v>
      </x:c>
      <x:c r="P575" s="33" t="str">
        <x:v>2018150910276800</x:v>
      </x:c>
    </x:row>
    <x:row r="576">
      <x:c r="A576" s="33" t="str">
        <x:v>2018150911053900</x:v>
      </x:c>
      <x:c r="B576" s="33" t="str">
        <x:v>MINARM / SSF / DSSF Brest - Direction du service de soutien de la flotte de Brest - DSSF Brest</x:v>
      </x:c>
      <x:c r="C576" s="33" t="str">
        <x:v>LOGNAV-CM</x:v>
      </x:c>
      <x:c r="D576" s="33" t="str">
        <x:v>Approvisionnement de rechanges mécaniques de marques diverses ou équivalent au profit des bâtiments de la Marine Nationale</x:v>
      </x:c>
      <x:c r="E576" s="33" t="str">
        <x:v>Pièces de rechange pour coque et pièces mécaniques pour navires de guerre.</x:v>
      </x:c>
      <x:c r="F576" s="36" t="n">
        <x:v>6674</x:v>
      </x:c>
      <x:c r="G576" s="38" t="n">
        <x:v>43423</x:v>
      </x:c>
      <x:c r="H576" s="38" t="n">
        <x:v>43423</x:v>
      </x:c>
      <x:c r="I576" s="40" t="n">
        <x:v>2</x:v>
      </x:c>
      <x:c r="J576" s="33" t="str">
        <x:v>Marché</x:v>
      </x:c>
      <x:c r="K576" s="33" t="str">
        <x:v>Procédure adaptée</x:v>
      </x:c>
      <x:c r="L576" s="33" t="str">
        <x:v>Ferme</x:v>
      </x:c>
      <x:c r="M576" s="33" t="str">
        <x:v>(29) Finistère</x:v>
      </x:c>
      <x:c r="N576" s="33" t="str">
        <x:v>Oui</x:v>
      </x:c>
      <x:c r="O576" s="33" t="str">
        <x:v>data.gouv.fr_aife</x:v>
      </x:c>
      <x:c r="P576" s="33" t="str">
        <x:v>2018150911053900</x:v>
      </x:c>
    </x:row>
    <x:row r="577">
      <x:c r="A577" s="33" t="str">
        <x:v>2018100013182200</x:v>
      </x:c>
      <x:c r="B577" s="33" t="str">
        <x:v>MINARM / SSF / DSSF Toulon - Direction du service de soutien de la flotte de Toulon - DSSF Toulon</x:v>
      </x:c>
      <x:c r="C577" s="33" t="str">
        <x:v>AART ELECTRONICS</x:v>
      </x:c>
      <x:c r="D577" s="33" t="str">
        <x:v>Accord-Cadre M16T20 010 relatif à l’approvisionnement de matériels électriques et électroniques pour le maintien en condition opérationnelle des Éléments de Force Maritime</x:v>
      </x:c>
      <x:c r="E577" s="33" t="str">
        <x:v>Pièces électroniques et électriques de rechange pour navires de guerre.</x:v>
      </x:c>
      <x:c r="F577" s="36" t="n">
        <x:v>2022</x:v>
      </x:c>
      <x:c r="G577" s="38" t="n">
        <x:v>43423</x:v>
      </x:c>
      <x:c r="H577" s="38" t="n">
        <x:v>43423</x:v>
      </x:c>
      <x:c r="I577" s="40" t="n">
        <x:v>3</x:v>
      </x:c>
      <x:c r="J577" s="33" t="str">
        <x:v>Marché subséquent</x:v>
      </x:c>
      <x:c r="K577" s="33" t="str">
        <x:v>Appel d'offres ouvert</x:v>
      </x:c>
      <x:c r="L577" s="33" t="str">
        <x:v>Ferme et actualisable</x:v>
      </x:c>
      <x:c r="M577" s="33" t="str">
        <x:v>(83) Var</x:v>
      </x:c>
      <x:c r="N577" s="33" t="str">
        <x:v>Oui</x:v>
      </x:c>
      <x:c r="O577" s="33" t="str">
        <x:v>data.gouv.fr_aife</x:v>
      </x:c>
      <x:c r="P577" s="33" t="str">
        <x:v>2018100013182200</x:v>
      </x:c>
    </x:row>
    <x:row r="578">
      <x:c r="A578" s="33" t="str">
        <x:v>2018100013193700</x:v>
      </x:c>
      <x:c r="B578" s="33" t="str">
        <x:v>MINARM / SSF / DSSF Toulon - Direction du service de soutien de la flotte de Toulon - DSSF Toulon</x:v>
      </x:c>
      <x:c r="C578" s="33" t="str">
        <x:v>AART ELECTRONICS</x:v>
      </x:c>
      <x:c r="D578" s="33" t="str">
        <x:v>Accord-Cadre M16T20 010 relatif à l’approvisionnement de matériels électriques et électroniques pour le maintien en condition opérationnelle des Éléments de Force Maritime</x:v>
      </x:c>
      <x:c r="E578" s="33" t="str">
        <x:v>Pièces électroniques et électriques de rechange pour navires de guerre.</x:v>
      </x:c>
      <x:c r="F578" s="36" t="n">
        <x:v>1786</x:v>
      </x:c>
      <x:c r="G578" s="38" t="n">
        <x:v>43423</x:v>
      </x:c>
      <x:c r="H578" s="38" t="n">
        <x:v>43423</x:v>
      </x:c>
      <x:c r="I578" s="40" t="n">
        <x:v>1</x:v>
      </x:c>
      <x:c r="J578" s="33" t="str">
        <x:v>Marché subséquent</x:v>
      </x:c>
      <x:c r="K578" s="33" t="str">
        <x:v>Appel d'offres ouvert</x:v>
      </x:c>
      <x:c r="L578" s="33" t="str">
        <x:v>Ferme et actualisable</x:v>
      </x:c>
      <x:c r="M578" s="33" t="str">
        <x:v>(83) Var</x:v>
      </x:c>
      <x:c r="N578" s="33" t="str">
        <x:v>Oui</x:v>
      </x:c>
      <x:c r="O578" s="33" t="str">
        <x:v>data.gouv.fr_aife</x:v>
      </x:c>
      <x:c r="P578" s="33" t="str">
        <x:v>2018100013193700</x:v>
      </x:c>
    </x:row>
    <x:row r="579">
      <x:c r="A579" s="33" t="str">
        <x:v>2018100013195100</x:v>
      </x:c>
      <x:c r="B579" s="33" t="str">
        <x:v>MINARM / SSF / DSSF Toulon - Direction du service de soutien de la flotte de Toulon - DSSF Toulon</x:v>
      </x:c>
      <x:c r="C579" s="33" t="str">
        <x:v>LOGNAV-CM</x:v>
      </x:c>
      <x:c r="D579" s="33" t="str">
        <x:v>Accord cadre N° 2016 M 16 T 20 010 relatif à l’approvisionnement de matériels électriques et électroniques pour le maintien en condition opérationnelle (MCO) des Eléments de Force Maritime (EFM) et des Eléments de Force Armées (EFA). -</x:v>
      </x:c>
      <x:c r="E579" s="33" t="str">
        <x:v>Pièces électroniques et électriques de rechange pour navires de guerre.</x:v>
      </x:c>
      <x:c r="F579" s="36" t="n">
        <x:v>4830</x:v>
      </x:c>
      <x:c r="G579" s="38" t="n">
        <x:v>43423</x:v>
      </x:c>
      <x:c r="H579" s="38" t="n">
        <x:v>43423</x:v>
      </x:c>
      <x:c r="I579" s="40" t="n">
        <x:v>12</x:v>
      </x:c>
      <x:c r="J579" s="33" t="str">
        <x:v>Marché subséquent</x:v>
      </x:c>
      <x:c r="K579" s="33" t="str">
        <x:v>Appel d'offres ouvert</x:v>
      </x:c>
      <x:c r="L579" s="33" t="str">
        <x:v>Ferme et actualisable</x:v>
      </x:c>
      <x:c r="M579" s="33" t="str">
        <x:v>(83) Var</x:v>
      </x:c>
      <x:c r="N579" s="33" t="str">
        <x:v>Oui</x:v>
      </x:c>
      <x:c r="O579" s="33" t="str">
        <x:v>data.gouv.fr_aife</x:v>
      </x:c>
      <x:c r="P579" s="33" t="str">
        <x:v>2018100013195100</x:v>
      </x:c>
    </x:row>
    <x:row r="580">
      <x:c r="A580" s="33" t="str">
        <x:v>2018120005864000</x:v>
      </x:c>
      <x:c r="B580" s="33" t="str">
        <x:v>MINARM / DIRISI - Direction Interarmées des Réseaux d'Infrastructure et des Systèmes d'Information de la défense</x:v>
      </x:c>
      <x:c r="C580" s="33" t="str">
        <x:v>AKKA I&amp;S</x:v>
      </x:c>
      <x:c r="D580" s="33" t="str">
        <x:v>Tierce Maintenance d'Exploitation des bases de données au profit du Centre National de Gestion des Fréquences (CNGF).</x:v>
      </x:c>
      <x:c r="E580" s="33" t="str">
        <x:v>Maintenance de logiciels de technologies de l'information.</x:v>
      </x:c>
      <x:c r="F580" s="36" t="n">
        <x:v>416617</x:v>
      </x:c>
      <x:c r="G580" s="38" t="n">
        <x:v>43423</x:v>
      </x:c>
      <x:c r="H580" s="38" t="n">
        <x:v>43423</x:v>
      </x:c>
      <x:c r="I580" s="40" t="n">
        <x:v>48</x:v>
      </x:c>
      <x:c r="J580" s="33" t="str">
        <x:v>Accord-cadre</x:v>
      </x:c>
      <x:c r="K580" s="33" t="str">
        <x:v>Appel d'offres restreint</x:v>
      </x:c>
      <x:c r="L580" s="33" t="str">
        <x:v>Révisable</x:v>
      </x:c>
      <x:c r="M580" s="33" t="str">
        <x:v>(78) Yvelines</x:v>
      </x:c>
      <x:c r="N580" s="33" t="str">
        <x:v>Oui</x:v>
      </x:c>
      <x:c r="O580" s="33" t="str">
        <x:v>data.gouv.fr_aife</x:v>
      </x:c>
      <x:c r="P580" s="33" t="str">
        <x:v>2018120005864000</x:v>
      </x:c>
    </x:row>
    <x:row r="581">
      <x:c r="A581" s="33" t="str">
        <x:v>20182018S0003700</x:v>
      </x:c>
      <x:c r="B581" s="33" t="str">
        <x:v>MINARM / ESTM / EPA / ONAC - Office National des Anciens Combattants et victimes de guerre</x:v>
      </x:c>
      <x:c r="C581" s="33" t="str">
        <x:v>ISS HYGIENE ET PREVENTION (54)</x:v>
      </x:c>
      <x:c r="D581" s="33" t="str">
        <x:v>Maintenance et fourniture de matériels de sécurité et de lutte contre l'incendie. - Maintenance et fourniture de matériels de sécurité et de lutte contre l'incendie pour les départements de : Somme (80) - Pas de Calais (62) - Oise (60) - Val</x:v>
      </x:c>
      <x:c r="E581" s="33" t="str">
        <x:v>Matériel de lutte contre l'incendie.</x:v>
      </x:c>
      <x:c r="F581" s="36" t="n">
        <x:v>4775</x:v>
      </x:c>
      <x:c r="G581" s="38" t="n">
        <x:v>43423</x:v>
      </x:c>
      <x:c r="H581" s="38" t="n">
        <x:v>43423</x:v>
      </x:c>
      <x:c r="I581" s="40" t="n">
        <x:v>48</x:v>
      </x:c>
      <x:c r="J581" s="33" t="str">
        <x:v>Accord-cadre</x:v>
      </x:c>
      <x:c r="K581" s="33" t="str">
        <x:v>Procédure adaptée</x:v>
      </x:c>
      <x:c r="L581" s="33" t="str">
        <x:v>Révisable</x:v>
      </x:c>
      <x:c r="M581" s="33" t="str">
        <x:v>(94) Val-de-Marne</x:v>
      </x:c>
      <x:c r="N581" s="33" t="str">
        <x:v>Oui</x:v>
      </x:c>
      <x:c r="O581" s="33" t="str">
        <x:v>data.gouv.fr_aife</x:v>
      </x:c>
      <x:c r="P581" s="33" t="str">
        <x:v>20182018S0003700</x:v>
      </x:c>
    </x:row>
    <x:row r="582">
      <x:c r="A582" s="33" t="str">
        <x:v>20182018S0004000</x:v>
      </x:c>
      <x:c r="B582" s="33" t="str">
        <x:v>MINARM / ESTM / EPA / ONAC - Office National des Anciens Combattants et victimes de guerre</x:v>
      </x:c>
      <x:c r="C582" s="33" t="str">
        <x:v>ISS HYGIENE ET PREVENTION (54)</x:v>
      </x:c>
      <x:c r="D582" s="33" t="str">
        <x:v>Maintenance et fourniture de matériels de sécurité et de lutte contre l'incendie. - Maintenance et fourniture de matériels de sécurité et de lutte contre l'incendie pour les départements de : Charente (16).</x:v>
      </x:c>
      <x:c r="E582" s="33" t="str">
        <x:v>Matériel de lutte contre l'incendie.</x:v>
      </x:c>
      <x:c r="F582" s="36" t="n">
        <x:v>1326</x:v>
      </x:c>
      <x:c r="G582" s="38" t="n">
        <x:v>43423</x:v>
      </x:c>
      <x:c r="H582" s="38" t="n">
        <x:v>43423</x:v>
      </x:c>
      <x:c r="I582" s="40" t="n">
        <x:v>48</x:v>
      </x:c>
      <x:c r="J582" s="33" t="str">
        <x:v>Accord-cadre</x:v>
      </x:c>
      <x:c r="K582" s="33" t="str">
        <x:v>Procédure adaptée</x:v>
      </x:c>
      <x:c r="L582" s="33" t="str">
        <x:v>Révisable</x:v>
      </x:c>
      <x:c r="M582" s="33" t="str">
        <x:v>(94) Val-de-Marne</x:v>
      </x:c>
      <x:c r="N582" s="33" t="str">
        <x:v>Oui</x:v>
      </x:c>
      <x:c r="O582" s="33" t="str">
        <x:v>data.gouv.fr_aife</x:v>
      </x:c>
      <x:c r="P582" s="33" t="str">
        <x:v>20182018S0004000</x:v>
      </x:c>
    </x:row>
    <x:row r="583">
      <x:c r="A583" s="33" t="str">
        <x:v>20182018S5011600</x:v>
      </x:c>
      <x:c r="B583" s="33" t="str">
        <x:v>MINARM / ESTM / EPA / ONAC - Office National des Anciens Combattants et victimes de guerre</x:v>
      </x:c>
      <x:c r="C583" s="33" t="str">
        <x:v>ISS HYGIENE ET PREVENTION (54)</x:v>
      </x:c>
      <x:c r="D583" s="33" t="str">
        <x:v>Maintenance et fourniture de matériels de sécurité et de lutte contre l'incendie. - Maintenance et fourniture de matériels de sécurité et de lutte contre l'incendie pour les départements de : Haut Rhin-Bas Rhin-Moselle-Meurthe et Moselle-Vosg</x:v>
      </x:c>
      <x:c r="E583" s="33" t="str">
        <x:v>Matériel de lutte contre l'incendie.</x:v>
      </x:c>
      <x:c r="F583" s="36" t="n">
        <x:v>8245</x:v>
      </x:c>
      <x:c r="G583" s="38" t="n">
        <x:v>43423</x:v>
      </x:c>
      <x:c r="H583" s="38" t="n">
        <x:v>43423</x:v>
      </x:c>
      <x:c r="I583" s="40" t="n">
        <x:v>48</x:v>
      </x:c>
      <x:c r="J583" s="33" t="str">
        <x:v>Accord-cadre</x:v>
      </x:c>
      <x:c r="K583" s="33" t="str">
        <x:v>Procédure adaptée</x:v>
      </x:c>
      <x:c r="L583" s="33" t="str">
        <x:v>Révisable</x:v>
      </x:c>
      <x:c r="M583" s="33" t="str">
        <x:v>(94) Val-de-Marne</x:v>
      </x:c>
      <x:c r="N583" s="33" t="str">
        <x:v>Oui</x:v>
      </x:c>
      <x:c r="O583" s="33" t="str">
        <x:v>data.gouv.fr_aife</x:v>
      </x:c>
      <x:c r="P583" s="33" t="str">
        <x:v>20182018S5011600</x:v>
      </x:c>
    </x:row>
    <x:row r="584">
      <x:c r="A584" s="33" t="str">
        <x:v>2018100013199100</x:v>
      </x:c>
      <x:c r="B584" s="33" t="str">
        <x:v>MINARM / SGA / SID / ESID Bordeaux - Etablissement du service d'infrastructure de la défense de Bordeaux - ESID Bordeaux</x:v>
      </x:c>
      <x:c r="C584" s="33" t="str">
        <x:v>ALGECO</x:v>
      </x:c>
      <x:c r="D584" s="33" t="str">
        <x:v>BRIVE (19) - Caserne LAPORTE - 126 R.I. - Acquisition d'une base modulaire</x:v>
      </x:c>
      <x:c r="E584" s="33" t="str">
        <x:v>Mobilier modulaire.</x:v>
      </x:c>
      <x:c r="F584" s="36" t="n">
        <x:v>363420</x:v>
      </x:c>
      <x:c r="G584" s="38" t="n">
        <x:v>43423</x:v>
      </x:c>
      <x:c r="H584" s="38" t="n">
        <x:v>43423</x:v>
      </x:c>
      <x:c r="I584" s="40" t="n">
        <x:v>4</x:v>
      </x:c>
      <x:c r="J584" s="33" t="str">
        <x:v>Marché</x:v>
      </x:c>
      <x:c r="K584" s="33" t="str"/>
      <x:c r="L584" s="33" t="str">
        <x:v>Ferme et actualisable</x:v>
      </x:c>
      <x:c r="M584" s="33" t="str">
        <x:v>(19) Corrèze</x:v>
      </x:c>
      <x:c r="N584" s="33" t="str">
        <x:v>Oui</x:v>
      </x:c>
      <x:c r="O584" s="33" t="str">
        <x:v>data.gouv.fr_aife</x:v>
      </x:c>
      <x:c r="P584" s="33" t="str">
        <x:v>2018100013199100</x:v>
      </x:c>
    </x:row>
    <x:row r="585">
      <x:c r="A585" s="33" t="str">
        <x:v>2018150910266000</x:v>
      </x:c>
      <x:c r="B585" s="33" t="str">
        <x:v>MINARM / SGA / SID / DID SDS - Direction d'infrastructure de la défense de Saint-Denis - DID Saint Denis</x:v>
      </x:c>
      <x:c r="C585" s="33" t="str">
        <x:v>AMIANTE INGENIERIE</x:v>
      </x:c>
      <x:c r="D585" s="33" t="str">
        <x:v>AVIS D’APPEL PUBLIC A LA CONCURRENCE - TRAVAUX - I . IDENTIFICATION DE L’ORGANISME QUI PASSE LE MARCHE - Direction d’Infrastructure de la Défense de Saint-Denis - Division Achats Infrastructure et Aide à l’Activité - Caserne Lambert - Avenue du che</x:v>
      </x:c>
      <x:c r="E585" s="33" t="str">
        <x:v>Travaux de désamiantage.</x:v>
      </x:c>
      <x:c r="F585" s="36" t="n">
        <x:v>19800</x:v>
      </x:c>
      <x:c r="G585" s="38" t="n">
        <x:v>43423</x:v>
      </x:c>
      <x:c r="H585" s="38" t="n">
        <x:v>43423</x:v>
      </x:c>
      <x:c r="I585" s="40" t="n">
        <x:v>4</x:v>
      </x:c>
      <x:c r="J585" s="33" t="str">
        <x:v>Marché</x:v>
      </x:c>
      <x:c r="K585" s="33" t="str">
        <x:v>Procédure adaptée</x:v>
      </x:c>
      <x:c r="L585" s="33" t="str">
        <x:v>Ferme et actualisable</x:v>
      </x:c>
      <x:c r="M585" s="33" t="str">
        <x:v>(19) Corrèze</x:v>
      </x:c>
      <x:c r="N585" s="33" t="str">
        <x:v>Oui</x:v>
      </x:c>
      <x:c r="O585" s="33" t="str">
        <x:v>data.gouv.fr_aife</x:v>
      </x:c>
      <x:c r="P585" s="33" t="str">
        <x:v>2018150910266000</x:v>
      </x:c>
    </x:row>
    <x:row r="586">
      <x:c r="A586" s="33" t="str">
        <x:v>2018150909412400</x:v>
      </x:c>
      <x:c r="B586" s="33" t="str">
        <x:v>MINARM / SGA / SID / ESID Metz - Etablissement du service d'infrastructure de la défense de Metz - ESID Metz</x:v>
      </x:c>
      <x:c r="C586" s="33" t="str">
        <x:v>SARL CANGI LORIANO</x:v>
      </x:c>
      <x:c r="D586" s="33" t="str">
        <x:v>CHAUMONT - SEMOUTIERS (52) - ORGES - QUAI 26 - Réfection partielle de la bordure du quai</x:v>
      </x:c>
      <x:c r="E586" s="33" t="str">
        <x:v>Travaux de mise en œuvre de béton armé.</x:v>
      </x:c>
      <x:c r="F586" s="36" t="n">
        <x:v>29350</x:v>
      </x:c>
      <x:c r="G586" s="38" t="n">
        <x:v>43423</x:v>
      </x:c>
      <x:c r="H586" s="38" t="n">
        <x:v>43423</x:v>
      </x:c>
      <x:c r="I586" s="40" t="n">
        <x:v>6</x:v>
      </x:c>
      <x:c r="J586" s="33" t="str">
        <x:v>Marché</x:v>
      </x:c>
      <x:c r="K586" s="33" t="str">
        <x:v>Procédure adaptée</x:v>
      </x:c>
      <x:c r="L586" s="33" t="str">
        <x:v>Ferme et actualisable</x:v>
      </x:c>
      <x:c r="M586" s="33" t="str">
        <x:v>(57) Moselle</x:v>
      </x:c>
      <x:c r="N586" s="33" t="str">
        <x:v>Oui</x:v>
      </x:c>
      <x:c r="O586" s="33" t="str">
        <x:v>data.gouv.fr_aife</x:v>
      </x:c>
      <x:c r="P586" s="33" t="str">
        <x:v>2018150909412400</x:v>
      </x:c>
    </x:row>
    <x:row r="587">
      <x:c r="A587" s="33" t="str">
        <x:v>2018150911056100</x:v>
      </x:c>
      <x:c r="B587" s="33" t="str">
        <x:v>MINARM / SGA / SID / ESID Metz - Etablissement du service d'infrastructure de la défense de Metz - ESID Metz</x:v>
      </x:c>
      <x:c r="C587" s="33" t="str">
        <x:v>TOKHEIM SERVICES FRANCE</x:v>
      </x:c>
      <x:c r="D587" s="33" t="str">
        <x:v>DOUAI (59) quartier Corbineau Travaux de mise en conformité station carburant</x:v>
      </x:c>
      <x:c r="E587" s="33" t="str">
        <x:v>Travaux de construction de stations-services.</x:v>
      </x:c>
      <x:c r="F587" s="36" t="n">
        <x:v>15952</x:v>
      </x:c>
      <x:c r="G587" s="38" t="n">
        <x:v>43423</x:v>
      </x:c>
      <x:c r="H587" s="38" t="n">
        <x:v>43423</x:v>
      </x:c>
      <x:c r="I587" s="40" t="n">
        <x:v>2</x:v>
      </x:c>
      <x:c r="J587" s="33" t="str">
        <x:v>Marché</x:v>
      </x:c>
      <x:c r="K587" s="33" t="str">
        <x:v>Appel d'offres ouvert</x:v>
      </x:c>
      <x:c r="L587" s="33" t="str">
        <x:v>Ferme</x:v>
      </x:c>
      <x:c r="M587" s="33" t="str">
        <x:v>(59) Nord</x:v>
      </x:c>
      <x:c r="N587" s="33" t="str">
        <x:v>Oui</x:v>
      </x:c>
      <x:c r="O587" s="33" t="str">
        <x:v>data.gouv.fr_aife</x:v>
      </x:c>
      <x:c r="P587" s="33" t="str">
        <x:v>2018150911056100</x:v>
      </x:c>
    </x:row>
    <x:row r="588">
      <x:c r="A588" s="33" t="str">
        <x:v>2018150911041700</x:v>
      </x:c>
      <x:c r="B588" s="33" t="str">
        <x:v>MINARM / SSF / DSSF Brest - Direction du service de soutien de la flotte de Brest - DSSF Brest</x:v>
      </x:c>
      <x:c r="C588" s="33" t="str">
        <x:v>LOGNAV-CM</x:v>
      </x:c>
      <x:c r="D588" s="33" t="str">
        <x:v>Approvisionnement de rechanges mécaniques de marques diverses ou équivalent au profit des bâtiments de la Marine Nationale.</x:v>
      </x:c>
      <x:c r="E588" s="33" t="str">
        <x:v>Pièces de rechange pour coque et pièces mécaniques pour navires de guerre.</x:v>
      </x:c>
      <x:c r="F588" s="36" t="n">
        <x:v>9467</x:v>
      </x:c>
      <x:c r="G588" s="38" t="n">
        <x:v>43423</x:v>
      </x:c>
      <x:c r="H588" s="38" t="n">
        <x:v>43423</x:v>
      </x:c>
      <x:c r="I588" s="40" t="n">
        <x:v>2</x:v>
      </x:c>
      <x:c r="J588" s="33" t="str">
        <x:v>Marché</x:v>
      </x:c>
      <x:c r="K588" s="33" t="str">
        <x:v>Procédure adaptée</x:v>
      </x:c>
      <x:c r="L588" s="33" t="str">
        <x:v>Ferme</x:v>
      </x:c>
      <x:c r="M588" s="33" t="str">
        <x:v>(29) Finistère</x:v>
      </x:c>
      <x:c r="N588" s="33" t="str">
        <x:v>Oui</x:v>
      </x:c>
      <x:c r="O588" s="33" t="str">
        <x:v>data.gouv.fr_aife</x:v>
      </x:c>
      <x:c r="P588" s="33" t="str">
        <x:v>2018150911041700</x:v>
      </x:c>
    </x:row>
    <x:row r="589">
      <x:c r="A589" s="33" t="str">
        <x:v>2018150912002700</x:v>
      </x:c>
      <x:c r="B589" s="33" t="str">
        <x:v>MINARM / SSF / DSSF Brest - Direction du service de soutien de la flotte de Brest - DSSF Brest</x:v>
      </x:c>
      <x:c r="C589" s="33" t="str">
        <x:v>TRIPARTITE</x:v>
      </x:c>
      <x:c r="D589" s="33" t="str">
        <x:v>Approvisionnement de fiches banane de marque RADIALL ou équivalents au profit de la Base Navale de Papeete</x:v>
      </x:c>
      <x:c r="E589" s="33" t="str">
        <x:v>Pièces pour navires de guerre.</x:v>
      </x:c>
      <x:c r="F589" s="36" t="n">
        <x:v>2962</x:v>
      </x:c>
      <x:c r="G589" s="38" t="n">
        <x:v>43423</x:v>
      </x:c>
      <x:c r="H589" s="38" t="n">
        <x:v>43423</x:v>
      </x:c>
      <x:c r="I589" s="40" t="n">
        <x:v>3</x:v>
      </x:c>
      <x:c r="J589" s="33" t="str">
        <x:v>Marché</x:v>
      </x:c>
      <x:c r="K589" s="33" t="str">
        <x:v>Procédure adaptée</x:v>
      </x:c>
      <x:c r="L589" s="33" t="str">
        <x:v>Ferme</x:v>
      </x:c>
      <x:c r="M589" s="33" t="str">
        <x:v>(29) Finistère</x:v>
      </x:c>
      <x:c r="N589" s="33" t="str">
        <x:v>Oui</x:v>
      </x:c>
      <x:c r="O589" s="33" t="str">
        <x:v>data.gouv.fr_aife</x:v>
      </x:c>
      <x:c r="P589" s="33" t="str">
        <x:v>2018150912002700</x:v>
      </x:c>
    </x:row>
    <x:row r="590">
      <x:c r="A590" s="33" t="str">
        <x:v>2018100013186500</x:v>
      </x:c>
      <x:c r="B590" s="33" t="str">
        <x:v>MINARM / SSF / DSSF Toulon - Direction du service de soutien de la flotte de Toulon - DSSF Toulon</x:v>
      </x:c>
      <x:c r="C590" s="33" t="str">
        <x:v>LOGNAV-CM</x:v>
      </x:c>
      <x:c r="D590" s="33" t="str">
        <x:v>Accord-Cadre M16T20 010 relatif à l’approvisionnement de matériels électriques et électroniques pour le maintien en condition opérationnelle des Éléments de Force Maritime</x:v>
      </x:c>
      <x:c r="E590" s="33" t="str">
        <x:v>Pièces électroniques et électriques de rechange pour navires de guerre.</x:v>
      </x:c>
      <x:c r="F590" s="36" t="n">
        <x:v>4855</x:v>
      </x:c>
      <x:c r="G590" s="38" t="n">
        <x:v>43423</x:v>
      </x:c>
      <x:c r="H590" s="38" t="n">
        <x:v>43423</x:v>
      </x:c>
      <x:c r="I590" s="40" t="n">
        <x:v>2</x:v>
      </x:c>
      <x:c r="J590" s="33" t="str">
        <x:v>Marché subséquent</x:v>
      </x:c>
      <x:c r="K590" s="33" t="str">
        <x:v>Appel d'offres ouvert</x:v>
      </x:c>
      <x:c r="L590" s="33" t="str">
        <x:v>Ferme et actualisable</x:v>
      </x:c>
      <x:c r="M590" s="33" t="str">
        <x:v>(83) Var</x:v>
      </x:c>
      <x:c r="N590" s="33" t="str">
        <x:v>Oui</x:v>
      </x:c>
      <x:c r="O590" s="33" t="str">
        <x:v>data.gouv.fr_aife</x:v>
      </x:c>
      <x:c r="P590" s="33" t="str">
        <x:v>2018100013186500</x:v>
      </x:c>
    </x:row>
    <x:row r="591">
      <x:c r="A591" s="33" t="str">
        <x:v>20182018S0003900</x:v>
      </x:c>
      <x:c r="B591" s="33" t="str">
        <x:v>MINARM / ESTM / EPA / ONAC - Office National des Anciens Combattants et victimes de guerre</x:v>
      </x:c>
      <x:c r="C591" s="33" t="str">
        <x:v>ISS HYGIENE ET PREVENTION (54)</x:v>
      </x:c>
      <x:c r="D591" s="33" t="str">
        <x:v>Maintenance et fourniture de matériels de sécurité et de lutte contre l'incendie. - Maintenance et fourniture de matériels de sécurité et de lutte contre l'incendie pour les départements de : Var (83) - Bouches du Rhône (13) - Rhône (69) -</x:v>
      </x:c>
      <x:c r="E591" s="33" t="str">
        <x:v>Matériel de lutte contre l'incendie.</x:v>
      </x:c>
      <x:c r="F591" s="36" t="n">
        <x:v>3734</x:v>
      </x:c>
      <x:c r="G591" s="38" t="n">
        <x:v>43423</x:v>
      </x:c>
      <x:c r="H591" s="38" t="n">
        <x:v>43423</x:v>
      </x:c>
      <x:c r="I591" s="40" t="n">
        <x:v>48</x:v>
      </x:c>
      <x:c r="J591" s="33" t="str">
        <x:v>Accord-cadre</x:v>
      </x:c>
      <x:c r="K591" s="33" t="str">
        <x:v>Procédure adaptée</x:v>
      </x:c>
      <x:c r="L591" s="33" t="str">
        <x:v>Révisable</x:v>
      </x:c>
      <x:c r="M591" s="33" t="str">
        <x:v>(94) Val-de-Marne</x:v>
      </x:c>
      <x:c r="N591" s="33" t="str">
        <x:v>Oui</x:v>
      </x:c>
      <x:c r="O591" s="33" t="str">
        <x:v>data.gouv.fr_aife</x:v>
      </x:c>
      <x:c r="P591" s="33" t="str">
        <x:v>20182018S0003900</x:v>
      </x:c>
    </x:row>
    <x:row r="592">
      <x:c r="A592" s="33" t="str">
        <x:v>2018100013139100</x:v>
      </x:c>
      <x:c r="B592" s="33" t="str">
        <x:v>MINARM / SSF / DSSF Toulon - Direction du service de soutien de la flotte de Toulon - DSSF Toulon</x:v>
      </x:c>
      <x:c r="C592" s="33" t="str">
        <x:v>LOGNAV-CM</x:v>
      </x:c>
      <x:c r="D592" s="33" t="str">
        <x:v>AC M15T20 025 relatif à la fourniture de matériels de robinetterie tels que vannes, soupapes, clapets, robinets, détendeurs, valves, raccords, coudes, tubes, tuyaux, colliers, brides, manchons, flexibles et accessoires associés pour les besoins néces</x:v>
      </x:c>
      <x:c r="E592" s="33" t="str">
        <x:v>Pièces pour navires de guerre.</x:v>
      </x:c>
      <x:c r="F592" s="36" t="n">
        <x:v>19554</x:v>
      </x:c>
      <x:c r="G592" s="38" t="n">
        <x:v>43423</x:v>
      </x:c>
      <x:c r="H592" s="38" t="n">
        <x:v>43423</x:v>
      </x:c>
      <x:c r="I592" s="40" t="n">
        <x:v>4</x:v>
      </x:c>
      <x:c r="J592" s="33" t="str">
        <x:v>Marché subséquent</x:v>
      </x:c>
      <x:c r="K592" s="33" t="str">
        <x:v>Appel d'offres ouvert</x:v>
      </x:c>
      <x:c r="L592" s="33" t="str">
        <x:v>Ferme et actualisable</x:v>
      </x:c>
      <x:c r="M592" s="33" t="str">
        <x:v>(83) Var</x:v>
      </x:c>
      <x:c r="N592" s="33" t="str">
        <x:v>Oui</x:v>
      </x:c>
      <x:c r="O592" s="33" t="str">
        <x:v>data.gouv.fr_aife</x:v>
      </x:c>
      <x:c r="P592" s="33" t="str">
        <x:v>2018100013139100</x:v>
      </x:c>
    </x:row>
    <x:row r="593">
      <x:c r="A593" s="33" t="str">
        <x:v>2018170009018700</x:v>
      </x:c>
      <x:c r="B593" s="33" t="str">
        <x:v>MINARM / SGA / DRH-MD / ARD - Agence de reconversion de la défense - ARD - DEFMOB</x:v>
      </x:c>
      <x:c r="C593" s="33" t="str">
        <x:v>IHEDN</x:v>
      </x:c>
      <x:c r="D593" s="33" t="str">
        <x:v>acquisition de prestations de formation à l'IHEDN</x:v>
      </x:c>
      <x:c r="E593" s="33" t="str">
        <x:v>Services de formation.</x:v>
      </x:c>
      <x:c r="F593" s="36" t="n">
        <x:v>153600</x:v>
      </x:c>
      <x:c r="G593" s="38" t="n">
        <x:v>43423</x:v>
      </x:c>
      <x:c r="H593" s="38" t="n">
        <x:v>43423</x:v>
      </x:c>
      <x:c r="I593" s="40" t="n">
        <x:v>48</x:v>
      </x:c>
      <x:c r="J593" s="33" t="str">
        <x:v>Marché</x:v>
      </x:c>
      <x:c r="K593" s="33" t="str"/>
      <x:c r="L593" s="33" t="str">
        <x:v>Révisable</x:v>
      </x:c>
      <x:c r="M593" s="33" t="str">
        <x:v>(75) Paris</x:v>
      </x:c>
      <x:c r="N593" s="33" t="str">
        <x:v>Oui</x:v>
      </x:c>
      <x:c r="O593" s="33" t="str">
        <x:v>data.gouv.fr_aife</x:v>
      </x:c>
      <x:c r="P593" s="33" t="str">
        <x:v>2018170009018700</x:v>
      </x:c>
    </x:row>
    <x:row r="594">
      <x:c r="A594" s="33" t="str">
        <x:v>20182018T0007100</x:v>
      </x:c>
      <x:c r="B594" s="33" t="str">
        <x:v>MINARM / ESTM / EPA / ONAC - Office National des Anciens Combattants et victimes de guerre</x:v>
      </x:c>
      <x:c r="C594" s="33" t="str">
        <x:v>SARL GIAMBERINI - GUY</x:v>
      </x:c>
      <x:c r="D594" s="33" t="str">
        <x:v>WETTSTEIN (68) - Réfection de l'allée centrale de la nécropole nationale</x:v>
      </x:c>
      <x:c r="E594" s="33" t="str">
        <x:v>Travaux de fouille et de terrassement.</x:v>
      </x:c>
      <x:c r="F594" s="36" t="n">
        <x:v>81938</x:v>
      </x:c>
      <x:c r="G594" s="38" t="n">
        <x:v>43423</x:v>
      </x:c>
      <x:c r="H594" s="38" t="n">
        <x:v>43423</x:v>
      </x:c>
      <x:c r="I594" s="40" t="n">
        <x:v>3</x:v>
      </x:c>
      <x:c r="J594" s="33" t="str">
        <x:v>Marché</x:v>
      </x:c>
      <x:c r="K594" s="33" t="str">
        <x:v>Procédure adaptée</x:v>
      </x:c>
      <x:c r="L594" s="33" t="str">
        <x:v>Ferme et actualisable</x:v>
      </x:c>
      <x:c r="M594" s="33" t="str">
        <x:v>(68) Haut-Rhin</x:v>
      </x:c>
      <x:c r="N594" s="33" t="str">
        <x:v>Oui</x:v>
      </x:c>
      <x:c r="O594" s="33" t="str">
        <x:v>data.gouv.fr_aife</x:v>
      </x:c>
      <x:c r="P594" s="33" t="str">
        <x:v>20182018T0007100</x:v>
      </x:c>
    </x:row>
    <x:row r="595">
      <x:c r="A595" s="33" t="str">
        <x:v>2018100013180000</x:v>
      </x:c>
      <x:c r="B595" s="33" t="str">
        <x:v>MINARM / SGA / SID / ESID Bordeaux - Etablissement du service d'infrastructure de la défense de Bordeaux - ESID Bordeaux</x:v>
      </x:c>
      <x:c r="C595" s="33" t="str">
        <x:v>AMGE Industrie</x:v>
      </x:c>
      <x:c r="D595" s="33" t="str">
        <x:v>Rochefort – 17 – Base aérienne 721 – Bâtiment 8601 - Réalisation de cloisons modulaires autoportantes sur mesure à l’intérieur du bâtiment 8601 -</x:v>
      </x:c>
      <x:c r="E595" s="33" t="str">
        <x:v>Travaux de menuiserie.</x:v>
      </x:c>
      <x:c r="F595" s="36" t="n">
        <x:v>156099</x:v>
      </x:c>
      <x:c r="G595" s="38" t="n">
        <x:v>43423</x:v>
      </x:c>
      <x:c r="H595" s="38" t="n">
        <x:v>43423</x:v>
      </x:c>
      <x:c r="I595" s="40" t="n">
        <x:v>16</x:v>
      </x:c>
      <x:c r="J595" s="33" t="str">
        <x:v>Marché</x:v>
      </x:c>
      <x:c r="K595" s="33" t="str">
        <x:v>Procédure adaptée</x:v>
      </x:c>
      <x:c r="L595" s="33" t="str">
        <x:v>Révisable</x:v>
      </x:c>
      <x:c r="M595" s="33" t="str">
        <x:v>(17) Charente-Maritime</x:v>
      </x:c>
      <x:c r="N595" s="33" t="str">
        <x:v>Oui</x:v>
      </x:c>
      <x:c r="O595" s="33" t="str">
        <x:v>data.gouv.fr_aife</x:v>
      </x:c>
      <x:c r="P595" s="33" t="str">
        <x:v>2018100013180000</x:v>
      </x:c>
    </x:row>
    <x:row r="596">
      <x:c r="A596" s="33" t="str">
        <x:v>2018100013198000</x:v>
      </x:c>
      <x:c r="B596" s="33" t="str">
        <x:v>MINARM / SGA / SID / ESID Bordeaux - Etablissement du service d'infrastructure de la défense de Bordeaux - ESID Bordeaux</x:v>
      </x:c>
      <x:c r="C596" s="33" t="str">
        <x:v>SAS ETCHART CONSTRUCTION</x:v>
      </x:c>
      <x:c r="D596" s="33" t="str">
        <x:v>Rénovation du bâtiment 020 et de la tour de contrôle aérien</x:v>
      </x:c>
      <x:c r="E596" s="33" t="str">
        <x:v>Travaux de remise en état et de remise à neuf.</x:v>
      </x:c>
      <x:c r="F596" s="36" t="n">
        <x:v>957000</x:v>
      </x:c>
      <x:c r="G596" s="38" t="n">
        <x:v>43423</x:v>
      </x:c>
      <x:c r="H596" s="38" t="n">
        <x:v>43423</x:v>
      </x:c>
      <x:c r="I596" s="40" t="n">
        <x:v>5</x:v>
      </x:c>
      <x:c r="J596" s="33" t="str">
        <x:v>Marché</x:v>
      </x:c>
      <x:c r="K596" s="33" t="str">
        <x:v>Procédure adaptée</x:v>
      </x:c>
      <x:c r="L596" s="33" t="str">
        <x:v>Révisable</x:v>
      </x:c>
      <x:c r="M596" s="33" t="str">
        <x:v>(64) Pyrénées-Atlantiques</x:v>
      </x:c>
      <x:c r="N596" s="33" t="str">
        <x:v>Oui</x:v>
      </x:c>
      <x:c r="O596" s="33" t="str">
        <x:v>data.gouv.fr_aife</x:v>
      </x:c>
      <x:c r="P596" s="33" t="str">
        <x:v>2018100013198000</x:v>
      </x:c>
    </x:row>
    <x:row r="597">
      <x:c r="A597" s="33" t="str">
        <x:v>2018100013175600</x:v>
      </x:c>
      <x:c r="B597" s="33" t="str">
        <x:v>MINARM / SSF / DSSF Toulon - Direction du service de soutien de la flotte de Toulon - DSSF Toulon</x:v>
      </x:c>
      <x:c r="C597" s="33" t="str">
        <x:v>AART ELECTRONICS</x:v>
      </x:c>
      <x:c r="D597" s="33" t="str">
        <x:v>Accord cadre N° 2016 M 16 T 20 010 relatif à l’approvisionnement de matériels électriques et électroniques pour le maintien en condition opérationnelle (MCO) des Eléments de Force Maritime (EFM) et des Eléments de Force Armées (EFA). -</x:v>
      </x:c>
      <x:c r="E597" s="33" t="str">
        <x:v>Pièces électroniques et électriques de rechange pour navires de guerre.</x:v>
      </x:c>
      <x:c r="F597" s="36" t="n">
        <x:v>1000</x:v>
      </x:c>
      <x:c r="G597" s="38" t="n">
        <x:v>43423</x:v>
      </x:c>
      <x:c r="H597" s="38" t="n">
        <x:v>43423</x:v>
      </x:c>
      <x:c r="I597" s="40" t="n">
        <x:v>12</x:v>
      </x:c>
      <x:c r="J597" s="33" t="str">
        <x:v>Marché subséquent</x:v>
      </x:c>
      <x:c r="K597" s="33" t="str">
        <x:v>Appel d'offres ouvert</x:v>
      </x:c>
      <x:c r="L597" s="33" t="str">
        <x:v>Ferme et actualisable</x:v>
      </x:c>
      <x:c r="M597" s="33" t="str">
        <x:v>(83) Var</x:v>
      </x:c>
      <x:c r="N597" s="33" t="str">
        <x:v>Oui</x:v>
      </x:c>
      <x:c r="O597" s="33" t="str">
        <x:v>data.gouv.fr_aife</x:v>
      </x:c>
      <x:c r="P597" s="33" t="str">
        <x:v>2018100013175600</x:v>
      </x:c>
    </x:row>
    <x:row r="598">
      <x:c r="A598" s="33" t="str">
        <x:v>2018100013196100</x:v>
      </x:c>
      <x:c r="B598" s="33" t="str">
        <x:v>MINARM / SSF / DSSF Toulon - Direction du service de soutien de la flotte de Toulon - DSSF Toulon</x:v>
      </x:c>
      <x:c r="C598" s="33" t="str">
        <x:v>LOGNAV-CM</x:v>
      </x:c>
      <x:c r="D598" s="33" t="str">
        <x:v>Accord-Cadre M16T20 010 relatif à l’approvisionnement de matériels électriques et électroniques pour le maintien en condition opérationnelle des Éléments de Force Maritime</x:v>
      </x:c>
      <x:c r="E598" s="33" t="str">
        <x:v>Pièces électroniques et électriques de rechange pour navires de guerre.</x:v>
      </x:c>
      <x:c r="F598" s="36" t="n">
        <x:v>15858</x:v>
      </x:c>
      <x:c r="G598" s="38" t="n">
        <x:v>43423</x:v>
      </x:c>
      <x:c r="H598" s="38" t="n">
        <x:v>43423</x:v>
      </x:c>
      <x:c r="I598" s="40" t="n">
        <x:v>2</x:v>
      </x:c>
      <x:c r="J598" s="33" t="str">
        <x:v>Marché subséquent</x:v>
      </x:c>
      <x:c r="K598" s="33" t="str">
        <x:v>Appel d'offres ouvert</x:v>
      </x:c>
      <x:c r="L598" s="33" t="str">
        <x:v>Ferme et actualisable</x:v>
      </x:c>
      <x:c r="M598" s="33" t="str">
        <x:v>(83) Var</x:v>
      </x:c>
      <x:c r="N598" s="33" t="str">
        <x:v>Oui</x:v>
      </x:c>
      <x:c r="O598" s="33" t="str">
        <x:v>data.gouv.fr_aife</x:v>
      </x:c>
      <x:c r="P598" s="33" t="str">
        <x:v>2018100013196100</x:v>
      </x:c>
    </x:row>
    <x:row r="599">
      <x:c r="A599" s="33" t="str">
        <x:v>2018150903516400</x:v>
      </x:c>
      <x:c r="B599" s="33" t="str">
        <x:v>MINARM / SGA / SID / ESID Metz - Etablissement du service d'infrastructure de la défense de Metz - ESID Metz</x:v>
      </x:c>
      <x:c r="C599" s="33" t="str">
        <x:v>SARL EURO-MAT</x:v>
      </x:c>
      <x:c r="D599" s="33" t="str">
        <x:v>Adaptation réglementaire du réceptacle d'éclatement</x:v>
      </x:c>
      <x:c r="E599" s="33" t="str">
        <x:v>Travaux de démolition de bâtiments et travaux de terrassement.</x:v>
      </x:c>
      <x:c r="F599" s="36" t="n">
        <x:v>89852</x:v>
      </x:c>
      <x:c r="G599" s="38" t="n">
        <x:v>43423</x:v>
      </x:c>
      <x:c r="H599" s="38" t="n">
        <x:v>43423</x:v>
      </x:c>
      <x:c r="I599" s="40" t="n">
        <x:v>1</x:v>
      </x:c>
      <x:c r="J599" s="33" t="str"/>
      <x:c r="K599" s="33" t="str"/>
      <x:c r="L599" s="33" t="str"/>
      <x:c r="M599" s="33" t="str">
        <x:v>(57) Moselle</x:v>
      </x:c>
      <x:c r="N599" s="33" t="str">
        <x:v>Oui</x:v>
      </x:c>
      <x:c r="O599" s="33" t="str">
        <x:v>data.gouv.fr_aife</x:v>
      </x:c>
      <x:c r="P599" s="33" t="str">
        <x:v>2018150903516400</x:v>
      </x:c>
    </x:row>
    <x:row r="600">
      <x:c r="A600" s="33" t="str">
        <x:v>2018100013172500</x:v>
      </x:c>
      <x:c r="B600" s="33" t="str">
        <x:v>MINARM / SSF / DSSF Toulon - Direction du service de soutien de la flotte de Toulon - DSSF Toulon</x:v>
      </x:c>
      <x:c r="C600" s="33" t="str">
        <x:v>LOGNAV-CM</x:v>
      </x:c>
      <x:c r="D600" s="33" t="str">
        <x:v>AC 2015M15T20 052 relatif à l’approvisionnement de matériels de filtration pour le maintien en condition opérationnelle (MCO) des Eléments de Force Maritime (EFM) et des Eléments de Force Armées (EFA). -</x:v>
      </x:c>
      <x:c r="E600" s="33" t="str">
        <x:v>Filtres à huile, filtres à essence et filtres à air.</x:v>
      </x:c>
      <x:c r="F600" s="36" t="n">
        <x:v>5459</x:v>
      </x:c>
      <x:c r="G600" s="38" t="n">
        <x:v>43423</x:v>
      </x:c>
      <x:c r="H600" s="38" t="n">
        <x:v>43423</x:v>
      </x:c>
      <x:c r="I600" s="40" t="n">
        <x:v>7</x:v>
      </x:c>
      <x:c r="J600" s="33" t="str">
        <x:v>Marché subséquent</x:v>
      </x:c>
      <x:c r="K600" s="33" t="str">
        <x:v>Appel d'offres ouvert</x:v>
      </x:c>
      <x:c r="L600" s="33" t="str">
        <x:v>Ferme et actualisable</x:v>
      </x:c>
      <x:c r="M600" s="33" t="str">
        <x:v>(83) Var</x:v>
      </x:c>
      <x:c r="N600" s="33" t="str">
        <x:v>Oui</x:v>
      </x:c>
      <x:c r="O600" s="33" t="str">
        <x:v>data.gouv.fr_aife</x:v>
      </x:c>
      <x:c r="P600" s="33" t="str">
        <x:v>2018100013172500</x:v>
      </x:c>
    </x:row>
    <x:row r="601">
      <x:c r="A601" s="33" t="str">
        <x:v>2018150911040700</x:v>
      </x:c>
      <x:c r="B601" s="33" t="str">
        <x:v>MINARM / SGA / SID / ESID Metz - Etablissement du service d'infrastructure de la défense de Metz - ESID Metz</x:v>
      </x:c>
      <x:c r="C601" s="33" t="str">
        <x:v>SEMERU</x:v>
      </x:c>
      <x:c r="D601" s="33" t="str">
        <x:v>Base de Défense de LILLE (59) Multi sites - Remise à niveau des systèmes anti intrusion vidéosurveillance et interphonie</x:v>
      </x:c>
      <x:c r="E601" s="33" t="str">
        <x:v>Travaux d'installation de systèmes d'alarme et d'antennes.</x:v>
      </x:c>
      <x:c r="F601" s="36" t="n">
        <x:v>70010</x:v>
      </x:c>
      <x:c r="G601" s="38" t="n">
        <x:v>43424</x:v>
      </x:c>
      <x:c r="H601" s="38" t="n">
        <x:v>43424</x:v>
      </x:c>
      <x:c r="I601" s="40" t="n">
        <x:v>3</x:v>
      </x:c>
      <x:c r="J601" s="33" t="str">
        <x:v>Marché</x:v>
      </x:c>
      <x:c r="K601" s="33" t="str">
        <x:v>Appel d'offres ouvert</x:v>
      </x:c>
      <x:c r="L601" s="33" t="str">
        <x:v>Ferme et actualisable</x:v>
      </x:c>
      <x:c r="M601" s="33" t="str">
        <x:v>(59) Nord</x:v>
      </x:c>
      <x:c r="N601" s="33" t="str">
        <x:v>Oui</x:v>
      </x:c>
      <x:c r="O601" s="33" t="str">
        <x:v>data.gouv.fr_aife</x:v>
      </x:c>
      <x:c r="P601" s="33" t="str">
        <x:v>2018150911040700</x:v>
      </x:c>
    </x:row>
    <x:row r="602">
      <x:c r="A602" s="33" t="str">
        <x:v>2018100013178800</x:v>
      </x:c>
      <x:c r="B602" s="33" t="str">
        <x:v>MINARM / DGA / DO / S2A / PROD / DA-SE / DA-SE-IS - Site Istres</x:v>
      </x:c>
      <x:c r="C602" s="33" t="str">
        <x:v>FALCON TRAINING CENTER</x:v>
      </x:c>
      <x:c r="D602" s="33" t="str">
        <x:v>Entrainement sur simulateur Falcon 20 et Falcon 50 au profit des personnels navigants de DGA Essais en Vol.</x:v>
      </x:c>
      <x:c r="E602" s="33" t="str">
        <x:v>Formation et simulation dans le domaines des aéronefs, missiles et spationefs militaires.</x:v>
      </x:c>
      <x:c r="F602" s="36" t="n">
        <x:v>647192</x:v>
      </x:c>
      <x:c r="G602" s="38" t="n">
        <x:v>43424</x:v>
      </x:c>
      <x:c r="H602" s="38" t="n">
        <x:v>43424</x:v>
      </x:c>
      <x:c r="I602" s="40" t="n">
        <x:v>84</x:v>
      </x:c>
      <x:c r="J602" s="33" t="str">
        <x:v>Marché</x:v>
      </x:c>
      <x:c r="K602" s="33" t="str"/>
      <x:c r="L602" s="33" t="str">
        <x:v>Révisable</x:v>
      </x:c>
      <x:c r="M602" s="33" t="str">
        <x:v>(13) Bouches-du-Rhône</x:v>
      </x:c>
      <x:c r="N602" s="33" t="str">
        <x:v>Oui</x:v>
      </x:c>
      <x:c r="O602" s="33" t="str">
        <x:v>data.gouv.fr_aife</x:v>
      </x:c>
      <x:c r="P602" s="33" t="str">
        <x:v>2018100013178800</x:v>
      </x:c>
    </x:row>
    <x:row r="603">
      <x:c r="A603" s="33" t="str">
        <x:v>20182018T0006400</x:v>
      </x:c>
      <x:c r="B603" s="33" t="str">
        <x:v>MINARM / ESTM / EPA / ONAC - Office National des Anciens Combattants et victimes de guerre</x:v>
      </x:c>
      <x:c r="C603" s="33" t="str">
        <x:v>UNION TECHNIQUE DU BATIMENT</x:v>
      </x:c>
      <x:c r="D603" s="33" t="str">
        <x:v>Le présent marché a pour objet des travaux de réaménagement du bâtiment d'accueil du Mémorial de la France combattante du Mont-Valérien à Suresnes (92). - Charpente Couverture Zinc - Etanchéité</x:v>
      </x:c>
      <x:c r="E603" s="33" t="str">
        <x:v>Travaux de charpente et de couverture et travaux connexes.</x:v>
      </x:c>
      <x:c r="F603" s="36" t="n">
        <x:v>50902</x:v>
      </x:c>
      <x:c r="G603" s="38" t="n">
        <x:v>43424</x:v>
      </x:c>
      <x:c r="H603" s="38" t="n">
        <x:v>43424</x:v>
      </x:c>
      <x:c r="I603" s="40" t="n">
        <x:v>14</x:v>
      </x:c>
      <x:c r="J603" s="33" t="str">
        <x:v>Marché</x:v>
      </x:c>
      <x:c r="K603" s="33" t="str">
        <x:v>Procédure adaptée</x:v>
      </x:c>
      <x:c r="L603" s="33" t="str">
        <x:v>Ferme et actualisable</x:v>
      </x:c>
      <x:c r="M603" s="33" t="str">
        <x:v>(92) Hauts-de-Seine</x:v>
      </x:c>
      <x:c r="N603" s="33" t="str">
        <x:v>Oui</x:v>
      </x:c>
      <x:c r="O603" s="33" t="str">
        <x:v>data.gouv.fr_aife</x:v>
      </x:c>
      <x:c r="P603" s="33" t="str">
        <x:v>20182018T0006400</x:v>
      </x:c>
    </x:row>
    <x:row r="604">
      <x:c r="A604" s="33" t="str">
        <x:v>2018100013218100</x:v>
      </x:c>
      <x:c r="B604" s="33" t="str">
        <x:v>MINARM / SGA / SID / ESID Bordeaux - Etablissement du service d'infrastructure de la défense de Bordeaux - ESID Bordeaux</x:v>
      </x:c>
      <x:c r="C604" s="33" t="str">
        <x:v>BRUYNZEEL RANGEMENTS</x:v>
      </x:c>
      <x:c r="D604" s="33" t="str">
        <x:v>La Rochelle (17) - Marché 3 de rayonnage dans le cadre de l'opération de construction d'un bâtiment archives et bureaux pour SA2P - caserne Beauregard</x:v>
      </x:c>
      <x:c r="E604" s="33" t="str">
        <x:v>Rayonnages d'archives.</x:v>
      </x:c>
      <x:c r="F604" s="36" t="n">
        <x:v>766178</x:v>
      </x:c>
      <x:c r="G604" s="38" t="n">
        <x:v>43424</x:v>
      </x:c>
      <x:c r="H604" s="38" t="n">
        <x:v>43424</x:v>
      </x:c>
      <x:c r="I604" s="40" t="n">
        <x:v>17</x:v>
      </x:c>
      <x:c r="J604" s="33" t="str">
        <x:v>Marché</x:v>
      </x:c>
      <x:c r="K604" s="33" t="str">
        <x:v>Procédure adaptée</x:v>
      </x:c>
      <x:c r="L604" s="33" t="str">
        <x:v>Révisable</x:v>
      </x:c>
      <x:c r="M604" s="33" t="str">
        <x:v>(17) Charente-Maritime</x:v>
      </x:c>
      <x:c r="N604" s="33" t="str">
        <x:v>Oui</x:v>
      </x:c>
      <x:c r="O604" s="33" t="str">
        <x:v>data.gouv.fr_aife</x:v>
      </x:c>
      <x:c r="P604" s="33" t="str">
        <x:v>2018100013218100</x:v>
      </x:c>
    </x:row>
    <x:row r="605">
      <x:c r="A605" s="33" t="str">
        <x:v>2018110004420000</x:v>
      </x:c>
      <x:c r="B605" s="33" t="str">
        <x:v>MINARM / SGA / SID / ESID Toulon - Etablissement du service d'infrastructure de la défense de Toulon - ESID Toulon</x:v>
      </x:c>
      <x:c r="C605" s="33" t="str">
        <x:v>INGEROP CONSEIL ET INGENIERIE (ICI)</x:v>
      </x:c>
      <x:c r="D605" s="33" t="str">
        <x:v>Saint-Mandrier- Accueil des FREMM- Dégazage au Lazaret- Marché de maîtrise d'oeuvre privée</x:v>
      </x:c>
      <x:c r="E605" s="33" t="str">
        <x:v>Services d'ingénierie.</x:v>
      </x:c>
      <x:c r="F605" s="36" t="n">
        <x:v>131578</x:v>
      </x:c>
      <x:c r="G605" s="38" t="n">
        <x:v>43424</x:v>
      </x:c>
      <x:c r="H605" s="38" t="n">
        <x:v>43424</x:v>
      </x:c>
      <x:c r="I605" s="40" t="n">
        <x:v>40</x:v>
      </x:c>
      <x:c r="J605" s="33" t="str">
        <x:v>Marché</x:v>
      </x:c>
      <x:c r="K605" s="33" t="str">
        <x:v>Appel d'offres ouvert</x:v>
      </x:c>
      <x:c r="L605" s="33" t="str">
        <x:v>Révisable</x:v>
      </x:c>
      <x:c r="M605" s="33" t="str">
        <x:v>(83) Var</x:v>
      </x:c>
      <x:c r="N605" s="33" t="str">
        <x:v>Oui</x:v>
      </x:c>
      <x:c r="O605" s="33" t="str">
        <x:v>data.gouv.fr_aife</x:v>
      </x:c>
      <x:c r="P605" s="33" t="str">
        <x:v>2018110004420000</x:v>
      </x:c>
    </x:row>
    <x:row r="606">
      <x:c r="A606" s="33" t="str">
        <x:v>2018150909756800</x:v>
      </x:c>
      <x:c r="B606" s="33" t="str">
        <x:v>MINARM / SGA / SID / ESID Metz - Etablissement du service d'infrastructure de la défense de Metz - ESID Metz</x:v>
      </x:c>
      <x:c r="C606" s="33" t="str">
        <x:v>KIK AUTOMATISME</x:v>
      </x:c>
      <x:c r="D606" s="33" t="str">
        <x:v>Projet no 18/USID03/086 - BdD MNM - SISSONNE (02) - 020720005H - DESCARTES MALMAISON - Bâtiments 001 et 021 - Réalisation de prérequis infra et aménagement de locaux.</x:v>
      </x:c>
      <x:c r="E606" s="33" t="str">
        <x:v>Travaux de transformation de bâtiments.</x:v>
      </x:c>
      <x:c r="F606" s="36" t="n">
        <x:v>97551</x:v>
      </x:c>
      <x:c r="G606" s="38" t="n">
        <x:v>43424</x:v>
      </x:c>
      <x:c r="H606" s="38" t="n">
        <x:v>43424</x:v>
      </x:c>
      <x:c r="I606" s="40" t="n">
        <x:v>7</x:v>
      </x:c>
      <x:c r="J606" s="33" t="str">
        <x:v>Marché</x:v>
      </x:c>
      <x:c r="K606" s="33" t="str">
        <x:v>Appel d'offres ouvert</x:v>
      </x:c>
      <x:c r="L606" s="33" t="str">
        <x:v>Ferme et actualisable</x:v>
      </x:c>
      <x:c r="M606" s="33" t="str">
        <x:v>(02) Aisne</x:v>
      </x:c>
      <x:c r="N606" s="33" t="str">
        <x:v>Oui</x:v>
      </x:c>
      <x:c r="O606" s="33" t="str">
        <x:v>data.gouv.fr_aife</x:v>
      </x:c>
      <x:c r="P606" s="33" t="str">
        <x:v>2018150909756800</x:v>
      </x:c>
    </x:row>
    <x:row r="607">
      <x:c r="A607" s="33" t="str">
        <x:v>2018150911054900</x:v>
      </x:c>
      <x:c r="B607" s="33" t="str">
        <x:v>MINARM / SGA / SID / ESID Metz - Etablissement du service d'infrastructure de la défense de Metz - ESID Metz</x:v>
      </x:c>
      <x:c r="C607" s="33" t="str">
        <x:v>SARL HERMANT</x:v>
      </x:c>
      <x:c r="D607" s="33" t="str">
        <x:v>DOUAI (59) quartier Corbineau Mise en place plateforme élévatrice</x:v>
      </x:c>
      <x:c r="E607" s="33" t="str">
        <x:v>Travaux d'installation d'ascenseurs et d'escaliers mécaniques.</x:v>
      </x:c>
      <x:c r="F607" s="36" t="n">
        <x:v>17194</x:v>
      </x:c>
      <x:c r="G607" s="38" t="n">
        <x:v>43424</x:v>
      </x:c>
      <x:c r="H607" s="38" t="n">
        <x:v>43424</x:v>
      </x:c>
      <x:c r="I607" s="40" t="n">
        <x:v>2</x:v>
      </x:c>
      <x:c r="J607" s="33" t="str">
        <x:v>Marché</x:v>
      </x:c>
      <x:c r="K607" s="33" t="str">
        <x:v>Appel d'offres ouvert</x:v>
      </x:c>
      <x:c r="L607" s="33" t="str">
        <x:v>Ferme</x:v>
      </x:c>
      <x:c r="M607" s="33" t="str">
        <x:v>(59) Nord</x:v>
      </x:c>
      <x:c r="N607" s="33" t="str">
        <x:v>Oui</x:v>
      </x:c>
      <x:c r="O607" s="33" t="str">
        <x:v>data.gouv.fr_aife</x:v>
      </x:c>
      <x:c r="P607" s="33" t="str">
        <x:v>2018150911054900</x:v>
      </x:c>
    </x:row>
    <x:row r="608">
      <x:c r="A608" s="33" t="str">
        <x:v>20182018S8004200</x:v>
      </x:c>
      <x:c r="B608" s="33" t="str">
        <x:v>MINARM / ESTM / EPA / SHOM - Service hydrographique et océanographique de la Marine</x:v>
      </x:c>
      <x:c r="C608" s="33" t="str">
        <x:v>IDEE FIXE</x:v>
      </x:c>
      <x:c r="D608" s="33" t="str">
        <x:v>Aménagement d'un stand pour le salon nautique 2018 Porte de Versailles.</x:v>
      </x:c>
      <x:c r="E608" s="33" t="str">
        <x:v>Services divers aux entreprises et services connexes.</x:v>
      </x:c>
      <x:c r="F608" s="36" t="n">
        <x:v>13626</x:v>
      </x:c>
      <x:c r="G608" s="38" t="n">
        <x:v>43424</x:v>
      </x:c>
      <x:c r="H608" s="38" t="n">
        <x:v>43424</x:v>
      </x:c>
      <x:c r="I608" s="40" t="n">
        <x:v>1</x:v>
      </x:c>
      <x:c r="J608" s="33" t="str">
        <x:v>Marché</x:v>
      </x:c>
      <x:c r="K608" s="33" t="str">
        <x:v>Procédure adaptée</x:v>
      </x:c>
      <x:c r="L608" s="33" t="str">
        <x:v>Ferme</x:v>
      </x:c>
      <x:c r="M608" s="33" t="str">
        <x:v>(75) Paris</x:v>
      </x:c>
      <x:c r="N608" s="33" t="str">
        <x:v>Oui</x:v>
      </x:c>
      <x:c r="O608" s="33" t="str">
        <x:v>data.gouv.fr_aife</x:v>
      </x:c>
      <x:c r="P608" s="33" t="str">
        <x:v>20182018S8004200</x:v>
      </x:c>
    </x:row>
    <x:row r="609">
      <x:c r="A609" s="33" t="str">
        <x:v>2018100013180800</x:v>
      </x:c>
      <x:c r="B609" s="33" t="str">
        <x:v>MINARM / SSF / DSSF Brest - Direction du service de soutien de la flotte de Brest - DSSF Brest</x:v>
      </x:c>
      <x:c r="C609" s="33" t="str">
        <x:v>LOGNAV-CM</x:v>
      </x:c>
      <x:c r="D609" s="33" t="str">
        <x:v>Fourniture de composants électriques et d'éclairage de marques diverses ou équivalents destinés aux bâtiments et unités à terre de la marine nationale</x:v>
      </x:c>
      <x:c r="E609" s="33" t="str">
        <x:v>Machines, appareils, équipements et consommables électriques ; éclairage.</x:v>
      </x:c>
      <x:c r="F609" s="36" t="n">
        <x:v>1766</x:v>
      </x:c>
      <x:c r="G609" s="38" t="n">
        <x:v>43424</x:v>
      </x:c>
      <x:c r="H609" s="38" t="n">
        <x:v>43424</x:v>
      </x:c>
      <x:c r="I609" s="40" t="n">
        <x:v>1</x:v>
      </x:c>
      <x:c r="J609" s="33" t="str">
        <x:v>Marché subséquent</x:v>
      </x:c>
      <x:c r="K609" s="33" t="str"/>
      <x:c r="L609" s="33" t="str">
        <x:v>Ferme</x:v>
      </x:c>
      <x:c r="M609" s="33" t="str">
        <x:v>(29) Finistère</x:v>
      </x:c>
      <x:c r="N609" s="33" t="str">
        <x:v>Oui</x:v>
      </x:c>
      <x:c r="O609" s="33" t="str">
        <x:v>data.gouv.fr_aife</x:v>
      </x:c>
      <x:c r="P609" s="33" t="str">
        <x:v>2018100013180800</x:v>
      </x:c>
    </x:row>
    <x:row r="610">
      <x:c r="A610" s="33" t="str">
        <x:v>20182018T0006500</x:v>
      </x:c>
      <x:c r="B610" s="33" t="str">
        <x:v>MINARM / ESTM / EPA / ONAC - Office National des Anciens Combattants et victimes de guerre</x:v>
      </x:c>
      <x:c r="C610" s="33" t="str">
        <x:v>Environnement Services</x:v>
      </x:c>
      <x:c r="D610" s="33" t="str">
        <x:v>Le présent marché a pour objet des travaux de réaménagement du bâtiment d'accueil du Mémorial de la France combattante du Mont-Valérien à Suresnes (92). - Serrurerie</x:v>
      </x:c>
      <x:c r="E610" s="33" t="str">
        <x:v>Serrurerie.</x:v>
      </x:c>
      <x:c r="F610" s="36" t="n">
        <x:v>24977</x:v>
      </x:c>
      <x:c r="G610" s="38" t="n">
        <x:v>43424</x:v>
      </x:c>
      <x:c r="H610" s="38" t="n">
        <x:v>43424</x:v>
      </x:c>
      <x:c r="I610" s="40" t="n">
        <x:v>14</x:v>
      </x:c>
      <x:c r="J610" s="33" t="str">
        <x:v>Marché</x:v>
      </x:c>
      <x:c r="K610" s="33" t="str">
        <x:v>Procédure adaptée</x:v>
      </x:c>
      <x:c r="L610" s="33" t="str">
        <x:v>Ferme et actualisable</x:v>
      </x:c>
      <x:c r="M610" s="33" t="str">
        <x:v>(92) Hauts-de-Seine</x:v>
      </x:c>
      <x:c r="N610" s="33" t="str">
        <x:v>Oui</x:v>
      </x:c>
      <x:c r="O610" s="33" t="str">
        <x:v>data.gouv.fr_aife</x:v>
      </x:c>
      <x:c r="P610" s="33" t="str">
        <x:v>20182018T0006500</x:v>
      </x:c>
    </x:row>
    <x:row r="611">
      <x:c r="A611" s="33" t="str">
        <x:v>20182018F8675500</x:v>
      </x:c>
      <x:c r="B611" s="33" t="str">
        <x:v>MINARM / ESTM / EPA / Ecole Polytechnique - Ecole Polytechnique</x:v>
      </x:c>
      <x:c r="C611" s="33" t="str">
        <x:v>ECLALUX</x:v>
      </x:c>
      <x:c r="D611" s="33" t="str">
        <x:v>Le marché a pour objet la fourniture, l’installation, l’intégration de projecteurs lumières LED, de structures légères d’accroche et accessoires associés pour le plateau TV de l’Ecole polytechnique.</x:v>
      </x:c>
      <x:c r="E611" s="33" t="str">
        <x:v>Projecteurs.</x:v>
      </x:c>
      <x:c r="F611" s="36" t="n">
        <x:v>56673</x:v>
      </x:c>
      <x:c r="G611" s="38" t="n">
        <x:v>43424</x:v>
      </x:c>
      <x:c r="H611" s="38" t="n">
        <x:v>43424</x:v>
      </x:c>
      <x:c r="I611" s="40" t="n">
        <x:v>2</x:v>
      </x:c>
      <x:c r="J611" s="33" t="str">
        <x:v>Marché</x:v>
      </x:c>
      <x:c r="K611" s="33" t="str">
        <x:v>Procédure adaptée</x:v>
      </x:c>
      <x:c r="L611" s="33" t="str">
        <x:v>Ferme</x:v>
      </x:c>
      <x:c r="M611" s="33" t="str">
        <x:v>(91) Essonne</x:v>
      </x:c>
      <x:c r="N611" s="33" t="str">
        <x:v>Oui</x:v>
      </x:c>
      <x:c r="O611" s="33" t="str">
        <x:v>data.gouv.fr_aife</x:v>
      </x:c>
      <x:c r="P611" s="33" t="str">
        <x:v>20182018F8675500</x:v>
      </x:c>
    </x:row>
    <x:row r="612">
      <x:c r="A612" s="33" t="str">
        <x:v>2018130013950000</x:v>
      </x:c>
      <x:c r="B612" s="33" t="str">
        <x:v>MINARM / SGA / SID / ESID Rennes - Etablissement du service d'infrastructure de la défense de Rennes - ESID Rennes</x:v>
      </x:c>
      <x:c r="C612" s="33" t="str">
        <x:v>DEMINETEC</x:v>
      </x:c>
      <x:c r="D612" s="33" t="str">
        <x:v>ESID Rennes Exécution de diagnostics pyrotechniques et de travaux de dépollution pyrotechnique accord-cadre</x:v>
      </x:c>
      <x:c r="E612" s="33" t="str">
        <x:v>Travaux de décontamination du sol.</x:v>
      </x:c>
      <x:c r="F612" s="36" t="n">
        <x:v>471170</x:v>
      </x:c>
      <x:c r="G612" s="38" t="n">
        <x:v>43424</x:v>
      </x:c>
      <x:c r="H612" s="38" t="n">
        <x:v>43424</x:v>
      </x:c>
      <x:c r="I612" s="40" t="n">
        <x:v>21</x:v>
      </x:c>
      <x:c r="J612" s="33" t="str">
        <x:v>Marché subséquent</x:v>
      </x:c>
      <x:c r="K612" s="33" t="str">
        <x:v>Appel d'offres ouvert</x:v>
      </x:c>
      <x:c r="L612" s="33" t="str">
        <x:v>Révisable</x:v>
      </x:c>
      <x:c r="M612" s="33" t="str">
        <x:v>(27) Eure</x:v>
      </x:c>
      <x:c r="N612" s="33" t="str">
        <x:v>Oui</x:v>
      </x:c>
      <x:c r="O612" s="33" t="str">
        <x:v>data.gouv.fr_aife</x:v>
      </x:c>
      <x:c r="P612" s="33" t="str">
        <x:v>2018130013950000</x:v>
      </x:c>
    </x:row>
    <x:row r="613">
      <x:c r="A613" s="33" t="str">
        <x:v>2018150911570900</x:v>
      </x:c>
      <x:c r="B613" s="33" t="str">
        <x:v>MINARM / SGA / SID / ESID IDF - Etablissement du Service d'infrastructure de la défense d'Ile de France - ESID Ile de France</x:v>
      </x:c>
      <x:c r="C613" s="33" t="str">
        <x:v>CHUBB FRANCE</x:v>
      </x:c>
      <x:c r="D613" s="33" t="str">
        <x:v>Extinction automatique incendie - VERSAILLES - Etablissement Ingénieur JAYAT (78)</x:v>
      </x:c>
      <x:c r="E613" s="33" t="str">
        <x:v>Travaux de plomberie.</x:v>
      </x:c>
      <x:c r="F613" s="36" t="n">
        <x:v>21195</x:v>
      </x:c>
      <x:c r="G613" s="38" t="n">
        <x:v>43424</x:v>
      </x:c>
      <x:c r="H613" s="38" t="n">
        <x:v>43424</x:v>
      </x:c>
      <x:c r="I613" s="40" t="n">
        <x:v>6</x:v>
      </x:c>
      <x:c r="J613" s="33" t="str">
        <x:v>Marché</x:v>
      </x:c>
      <x:c r="K613" s="33" t="str">
        <x:v>Procédure adaptée</x:v>
      </x:c>
      <x:c r="L613" s="33" t="str">
        <x:v>Ferme et actualisable</x:v>
      </x:c>
      <x:c r="M613" s="33" t="str">
        <x:v>(78) Yvelines</x:v>
      </x:c>
      <x:c r="N613" s="33" t="str">
        <x:v>Oui</x:v>
      </x:c>
      <x:c r="O613" s="33" t="str">
        <x:v>data.gouv.fr_aife</x:v>
      </x:c>
      <x:c r="P613" s="33" t="str">
        <x:v>2018150911570900</x:v>
      </x:c>
    </x:row>
    <x:row r="614">
      <x:c r="A614" s="33" t="str">
        <x:v>2018100013198300</x:v>
      </x:c>
      <x:c r="B614" s="33" t="str">
        <x:v>MINARM / SSF / DSSF Toulon - Direction du service de soutien de la flotte de Toulon - DSSF Toulon</x:v>
      </x:c>
      <x:c r="C614" s="33" t="str">
        <x:v>LE LITTORAL</x:v>
      </x:c>
      <x:c r="D614" s="33" t="str">
        <x:v>Accord cadre N° 2016 M 16 T 20 010 relatif à l’approvisionnement de matériels électriques et électroniques pour le maintien en condition opérationnelle (MCO) des Eléments de Force Maritime (EFM) et des Eléments de Force Armées (EFA). - Marché su</x:v>
      </x:c>
      <x:c r="E614" s="33" t="str">
        <x:v>Pièces électroniques et électriques de rechange pour navires de guerre.</x:v>
      </x:c>
      <x:c r="F614" s="36" t="n">
        <x:v>37209</x:v>
      </x:c>
      <x:c r="G614" s="38" t="n">
        <x:v>43424</x:v>
      </x:c>
      <x:c r="H614" s="38" t="n">
        <x:v>43424</x:v>
      </x:c>
      <x:c r="I614" s="40" t="n">
        <x:v>6</x:v>
      </x:c>
      <x:c r="J614" s="33" t="str">
        <x:v>Marché subséquent</x:v>
      </x:c>
      <x:c r="K614" s="33" t="str">
        <x:v>Appel d'offres ouvert</x:v>
      </x:c>
      <x:c r="L614" s="33" t="str">
        <x:v>Ferme et actualisable</x:v>
      </x:c>
      <x:c r="M614" s="33" t="str">
        <x:v>(83) Var</x:v>
      </x:c>
      <x:c r="N614" s="33" t="str">
        <x:v>Oui</x:v>
      </x:c>
      <x:c r="O614" s="33" t="str">
        <x:v>data.gouv.fr_aife</x:v>
      </x:c>
      <x:c r="P614" s="33" t="str">
        <x:v>2018100013198300</x:v>
      </x:c>
    </x:row>
    <x:row r="615">
      <x:c r="A615" s="33" t="str">
        <x:v>2018100013204000</x:v>
      </x:c>
      <x:c r="B615" s="33" t="str">
        <x:v>MINARM / SSF / DSSF Toulon - Direction du service de soutien de la flotte de Toulon - DSSF Toulon</x:v>
      </x:c>
      <x:c r="C615" s="33" t="str">
        <x:v>LE LITTORAL</x:v>
      </x:c>
      <x:c r="D615" s="33" t="str">
        <x:v>Accord cadre N° 2016 M 16 T 20 004 relatif à la fourniture de matériels de transmission mécanique et de propulsion pour les besoins nécessaires au maintien en condition opérationnelle des Eléments de la Force Maritime et des Eléments de la Force A</x:v>
      </x:c>
      <x:c r="E615" s="33" t="str">
        <x:v>Moteur et pièces de moteur pour navires de guerre.</x:v>
      </x:c>
      <x:c r="F615" s="36" t="n">
        <x:v>5509</x:v>
      </x:c>
      <x:c r="G615" s="38" t="n">
        <x:v>43424</x:v>
      </x:c>
      <x:c r="H615" s="38" t="n">
        <x:v>43424</x:v>
      </x:c>
      <x:c r="I615" s="40" t="n">
        <x:v>3</x:v>
      </x:c>
      <x:c r="J615" s="33" t="str">
        <x:v>Marché subséquent</x:v>
      </x:c>
      <x:c r="K615" s="33" t="str">
        <x:v>Appel d'offres ouvert</x:v>
      </x:c>
      <x:c r="L615" s="33" t="str">
        <x:v>Ferme et actualisable</x:v>
      </x:c>
      <x:c r="M615" s="33" t="str">
        <x:v>(83) Var</x:v>
      </x:c>
      <x:c r="N615" s="33" t="str">
        <x:v>Oui</x:v>
      </x:c>
      <x:c r="O615" s="33" t="str">
        <x:v>data.gouv.fr_aife</x:v>
      </x:c>
      <x:c r="P615" s="33" t="str">
        <x:v>2018100013204000</x:v>
      </x:c>
    </x:row>
    <x:row r="616">
      <x:c r="A616" s="33" t="str">
        <x:v>2018150910399400</x:v>
      </x:c>
      <x:c r="B616" s="33" t="str">
        <x:v>MINARM / SSF / DSSF Toulon - Direction du service de soutien de la flotte de Toulon - DSSF Toulon</x:v>
      </x:c>
      <x:c r="C616" s="33" t="str">
        <x:v>Schmitz One Seven GmbH</x:v>
      </x:c>
      <x:c r="D616" s="33" t="str">
        <x:v>Location dun système portable de production de mousse sous pression capable dintervenir sur des installations électriques HT sous tension</x:v>
      </x:c>
      <x:c r="E616" s="33" t="str">
        <x:v>Pièces pour navires de guerre.</x:v>
      </x:c>
      <x:c r="F616" s="36" t="n">
        <x:v>15580</x:v>
      </x:c>
      <x:c r="G616" s="38" t="n">
        <x:v>43424</x:v>
      </x:c>
      <x:c r="H616" s="38" t="n">
        <x:v>43424</x:v>
      </x:c>
      <x:c r="I616" s="40" t="n">
        <x:v>3</x:v>
      </x:c>
      <x:c r="J616" s="33" t="str">
        <x:v>Marché</x:v>
      </x:c>
      <x:c r="K616" s="33" t="str">
        <x:v>Procédure adaptée</x:v>
      </x:c>
      <x:c r="L616" s="33" t="str">
        <x:v>Ferme et actualisable</x:v>
      </x:c>
      <x:c r="M616" s="33" t="str">
        <x:v>(83) Var</x:v>
      </x:c>
      <x:c r="N616" s="33" t="str">
        <x:v>Oui</x:v>
      </x:c>
      <x:c r="O616" s="33" t="str">
        <x:v>data.gouv.fr_aife</x:v>
      </x:c>
      <x:c r="P616" s="33" t="str">
        <x:v>2018150910399400</x:v>
      </x:c>
    </x:row>
    <x:row r="617">
      <x:c r="A617" s="33" t="str">
        <x:v>2018130013925400</x:v>
      </x:c>
      <x:c r="B617" s="33" t="str">
        <x:v>MINARM / SGA / SID / ESID Rennes - Etablissement du service d'infrastructure de la défense de Rennes - ESID Rennes</x:v>
      </x:c>
      <x:c r="C617" s="33" t="str">
        <x:v>MAINTENANCE EQUIPEMENTS TECHNIQUES 41</x:v>
      </x:c>
      <x:c r="D617" s="33" t="str">
        <x:v>Orléans Bricy (45) - Maintenance des portes, portails automatiques et semi-automatiques, motorisés et manuels des sites - Orléans Bricy (45) - Maintenance des portes, portails automatiques et semi-automatiques, motorisés et manuels des sites</x:v>
      </x:c>
      <x:c r="E617" s="33" t="str">
        <x:v>Services de réparation et d'entretien.</x:v>
      </x:c>
      <x:c r="F617" s="36" t="n">
        <x:v>400000</x:v>
      </x:c>
      <x:c r="G617" s="38" t="n">
        <x:v>43424</x:v>
      </x:c>
      <x:c r="H617" s="38" t="n">
        <x:v>43424</x:v>
      </x:c>
      <x:c r="I617" s="40" t="n">
        <x:v>48</x:v>
      </x:c>
      <x:c r="J617" s="33" t="str">
        <x:v>Accord-cadre</x:v>
      </x:c>
      <x:c r="K617" s="33" t="str">
        <x:v>Appel d'offres ouvert</x:v>
      </x:c>
      <x:c r="L617" s="33" t="str">
        <x:v>Révisable</x:v>
      </x:c>
      <x:c r="M617" s="33" t="str">
        <x:v>(45) Loiret</x:v>
      </x:c>
      <x:c r="N617" s="33" t="str">
        <x:v>Oui</x:v>
      </x:c>
      <x:c r="O617" s="33" t="str">
        <x:v>data.gouv.fr_aife</x:v>
      </x:c>
      <x:c r="P617" s="33" t="str">
        <x:v>2018130013925400</x:v>
      </x:c>
    </x:row>
    <x:row r="618">
      <x:c r="A618" s="33" t="str">
        <x:v>2018130013932900</x:v>
      </x:c>
      <x:c r="B618" s="33" t="str">
        <x:v>MINARM / SGA / SID / ESID Rennes - Etablissement du service d'infrastructure de la défense de Rennes - ESID Rennes</x:v>
      </x:c>
      <x:c r="C618" s="33" t="str">
        <x:v>MAINTENANCE EQUIPEMENTS TECHNIQUES 41</x:v>
      </x:c>
      <x:c r="D618" s="33" t="str">
        <x:v>Orléans Bricy (45) - Maintenance des portes, portails automatiques et semi-automatiques, motorisés et manuels des sites - Base de Défense dORLEANS BRICY(45) Maintenance des portes, portails automatiques et semi-automatiques, motorisés et manuels des</x:v>
      </x:c>
      <x:c r="E618" s="33" t="str">
        <x:v>Services de réparation et d'entretien.</x:v>
      </x:c>
      <x:c r="F618" s="36" t="n">
        <x:v>60000</x:v>
      </x:c>
      <x:c r="G618" s="38" t="n">
        <x:v>43424</x:v>
      </x:c>
      <x:c r="H618" s="38" t="n">
        <x:v>43424</x:v>
      </x:c>
      <x:c r="I618" s="40" t="n">
        <x:v>48</x:v>
      </x:c>
      <x:c r="J618" s="33" t="str">
        <x:v>Accord-cadre</x:v>
      </x:c>
      <x:c r="K618" s="33" t="str">
        <x:v>Appel d'offres ouvert</x:v>
      </x:c>
      <x:c r="L618" s="33" t="str">
        <x:v>Révisable</x:v>
      </x:c>
      <x:c r="M618" s="33" t="str">
        <x:v>(45) Loiret</x:v>
      </x:c>
      <x:c r="N618" s="33" t="str">
        <x:v>Oui</x:v>
      </x:c>
      <x:c r="O618" s="33" t="str">
        <x:v>data.gouv.fr_aife</x:v>
      </x:c>
      <x:c r="P618" s="33" t="str">
        <x:v>2018130013932900</x:v>
      </x:c>
    </x:row>
    <x:row r="619">
      <x:c r="A619" s="33" t="str">
        <x:v>20182018S0017900</x:v>
      </x:c>
      <x:c r="B619" s="33" t="str">
        <x:v>MINARM / SCA / PFC Sud - Plate-forme commissariat Sud (Toulon)</x:v>
      </x:c>
      <x:c r="C619" s="33" t="str">
        <x:v>SINER</x:v>
      </x:c>
      <x:c r="D619" s="33" t="str">
        <x:v>Nettoyage des locaux et de la vitrerie de l'Atelier Industriel de l'Aéronautique de Cuers-Pierrefeu (AIA CP) et de son antenne implantée sur la base aéronautique navale d'Hyères (AIA CP/antenne Hyères).</x:v>
      </x:c>
      <x:c r="E619" s="33" t="str">
        <x:v>Services de nettoyage.</x:v>
      </x:c>
      <x:c r="F619" s="36" t="n">
        <x:v>1824281</x:v>
      </x:c>
      <x:c r="G619" s="38" t="n">
        <x:v>43424</x:v>
      </x:c>
      <x:c r="H619" s="38" t="n">
        <x:v>43424</x:v>
      </x:c>
      <x:c r="I619" s="40" t="n">
        <x:v>48</x:v>
      </x:c>
      <x:c r="J619" s="33" t="str">
        <x:v>Marché</x:v>
      </x:c>
      <x:c r="K619" s="33" t="str">
        <x:v>Appel d'offres ouvert</x:v>
      </x:c>
      <x:c r="L619" s="33" t="str">
        <x:v>Révisable</x:v>
      </x:c>
      <x:c r="M619" s="33" t="str">
        <x:v>(83) Var</x:v>
      </x:c>
      <x:c r="N619" s="33" t="str">
        <x:v>Oui</x:v>
      </x:c>
      <x:c r="O619" s="33" t="str">
        <x:v>data.gouv.fr_aife</x:v>
      </x:c>
      <x:c r="P619" s="33" t="str">
        <x:v>20182018S0017900</x:v>
      </x:c>
    </x:row>
    <x:row r="620">
      <x:c r="A620" s="33" t="str">
        <x:v>2018150910261600</x:v>
      </x:c>
      <x:c r="B620" s="33" t="str">
        <x:v>MINARM / SSF / DSSF Brest - Direction du service de soutien de la flotte de Brest - DSSF Brest</x:v>
      </x:c>
      <x:c r="C620" s="33" t="str">
        <x:v>LOGNAV-CM</x:v>
      </x:c>
      <x:c r="D620" s="33" t="str">
        <x:v>Approvisionnement de rechanges mécaniques de marques diverses ou équivalent au profit des bâtiments de la Marine Nationale</x:v>
      </x:c>
      <x:c r="E620" s="33" t="str">
        <x:v>Pièces de rechange pour coque et pièces mécaniques pour navires de guerre.</x:v>
      </x:c>
      <x:c r="F620" s="36" t="n">
        <x:v>11376</x:v>
      </x:c>
      <x:c r="G620" s="38" t="n">
        <x:v>43424</x:v>
      </x:c>
      <x:c r="H620" s="38" t="n">
        <x:v>43424</x:v>
      </x:c>
      <x:c r="I620" s="40" t="n">
        <x:v>5</x:v>
      </x:c>
      <x:c r="J620" s="33" t="str">
        <x:v>Marché</x:v>
      </x:c>
      <x:c r="K620" s="33" t="str">
        <x:v>Procédure adaptée</x:v>
      </x:c>
      <x:c r="L620" s="33" t="str">
        <x:v>Ferme</x:v>
      </x:c>
      <x:c r="M620" s="33" t="str">
        <x:v>(29) Finistère</x:v>
      </x:c>
      <x:c r="N620" s="33" t="str">
        <x:v>Oui</x:v>
      </x:c>
      <x:c r="O620" s="33" t="str">
        <x:v>data.gouv.fr_aife</x:v>
      </x:c>
      <x:c r="P620" s="33" t="str">
        <x:v>2018150910261600</x:v>
      </x:c>
    </x:row>
    <x:row r="621">
      <x:c r="A621" s="33" t="str">
        <x:v>2018100013172400</x:v>
      </x:c>
      <x:c r="B621" s="33" t="str">
        <x:v>MINARM / SSF / DSSF Toulon - Direction du service de soutien de la flotte de Toulon - DSSF Toulon</x:v>
      </x:c>
      <x:c r="C621" s="33" t="str">
        <x:v>SARL EUROFOURNISUD</x:v>
      </x:c>
      <x:c r="D621" s="33" t="str">
        <x:v>Accord-Cadre M16T20 010 relatif à l’approvisionnement de matériels électriques et électroniques pour le maintien en condition opérationnelle des Éléments de Force Maritime</x:v>
      </x:c>
      <x:c r="E621" s="33" t="str">
        <x:v>Pièces électroniques et électriques de rechange pour navires de guerre.</x:v>
      </x:c>
      <x:c r="F621" s="36" t="n">
        <x:v>28002</x:v>
      </x:c>
      <x:c r="G621" s="38" t="n">
        <x:v>43424</x:v>
      </x:c>
      <x:c r="H621" s="38" t="n">
        <x:v>43424</x:v>
      </x:c>
      <x:c r="I621" s="40" t="n">
        <x:v>6</x:v>
      </x:c>
      <x:c r="J621" s="33" t="str">
        <x:v>Marché subséquent</x:v>
      </x:c>
      <x:c r="K621" s="33" t="str">
        <x:v>Appel d'offres ouvert</x:v>
      </x:c>
      <x:c r="L621" s="33" t="str">
        <x:v>Ferme et actualisable</x:v>
      </x:c>
      <x:c r="M621" s="33" t="str">
        <x:v>(83) Var</x:v>
      </x:c>
      <x:c r="N621" s="33" t="str">
        <x:v>Oui</x:v>
      </x:c>
      <x:c r="O621" s="33" t="str">
        <x:v>data.gouv.fr_aife</x:v>
      </x:c>
      <x:c r="P621" s="33" t="str">
        <x:v>2018100013172400</x:v>
      </x:c>
    </x:row>
    <x:row r="622">
      <x:c r="A622" s="33" t="str">
        <x:v>2018160004976100</x:v>
      </x:c>
      <x:c r="B622" s="33" t="str">
        <x:v>MINARM / SSF / DSSF Toulon - Direction du service de soutien de la flotte de Toulon - DSSF Toulon</x:v>
      </x:c>
      <x:c r="C622" s="33" t="str">
        <x:v>EXTREM VISION PERPIGNAN</x:v>
      </x:c>
      <x:c r="D622" s="33" t="str">
        <x:v>Fourniture de boîtiers étanches</x:v>
      </x:c>
      <x:c r="E622" s="33" t="str">
        <x:v>Boîtiers de protection.</x:v>
      </x:c>
      <x:c r="F622" s="36" t="n">
        <x:v>11500</x:v>
      </x:c>
      <x:c r="G622" s="38" t="n">
        <x:v>43424</x:v>
      </x:c>
      <x:c r="H622" s="38" t="n">
        <x:v>43424</x:v>
      </x:c>
      <x:c r="I622" s="40" t="n">
        <x:v>1</x:v>
      </x:c>
      <x:c r="J622" s="33" t="str">
        <x:v>Marché</x:v>
      </x:c>
      <x:c r="K622" s="33" t="str">
        <x:v>Appel d'offres ouvert</x:v>
      </x:c>
      <x:c r="L622" s="33" t="str">
        <x:v>Ferme et actualisable</x:v>
      </x:c>
      <x:c r="M622" s="33" t="str">
        <x:v>(29) Finistère</x:v>
      </x:c>
      <x:c r="N622" s="33" t="str">
        <x:v>Oui</x:v>
      </x:c>
      <x:c r="O622" s="33" t="str">
        <x:v>data.gouv.fr_aife</x:v>
      </x:c>
      <x:c r="P622" s="33" t="str">
        <x:v>2018160004976100</x:v>
      </x:c>
    </x:row>
    <x:row r="623">
      <x:c r="A623" s="33" t="str">
        <x:v>20182018T0006000</x:v>
      </x:c>
      <x:c r="B623" s="33" t="str">
        <x:v>MINARM / ESTM / EPA / ONAC - Office National des Anciens Combattants et victimes de guerre</x:v>
      </x:c>
      <x:c r="C623" s="33" t="str">
        <x:v>TRUSGNACH</x:v>
      </x:c>
      <x:c r="D623" s="33" t="str">
        <x:v>Le présent marché a pour objet des travaux de réaménagement du bâtiment d'accueil du Mémorial de la France combattante du Mont-Valérien à Suresnes (92). - Démolition Désamiantage - Gros oeuvre Aménagements extérieurs - VRD</x:v>
      </x:c>
      <x:c r="E623" s="33" t="str">
        <x:v>Travaux de démolition.</x:v>
      </x:c>
      <x:c r="F623" s="36" t="n">
        <x:v>443159</x:v>
      </x:c>
      <x:c r="G623" s="38" t="n">
        <x:v>43424</x:v>
      </x:c>
      <x:c r="H623" s="38" t="n">
        <x:v>43424</x:v>
      </x:c>
      <x:c r="I623" s="40" t="n">
        <x:v>14</x:v>
      </x:c>
      <x:c r="J623" s="33" t="str">
        <x:v>Marché</x:v>
      </x:c>
      <x:c r="K623" s="33" t="str">
        <x:v>Procédure adaptée</x:v>
      </x:c>
      <x:c r="L623" s="33" t="str">
        <x:v>Ferme et actualisable</x:v>
      </x:c>
      <x:c r="M623" s="33" t="str">
        <x:v>(92) Hauts-de-Seine</x:v>
      </x:c>
      <x:c r="N623" s="33" t="str">
        <x:v>Oui</x:v>
      </x:c>
      <x:c r="O623" s="33" t="str">
        <x:v>data.gouv.fr_aife</x:v>
      </x:c>
      <x:c r="P623" s="33" t="str">
        <x:v>20182018T0006000</x:v>
      </x:c>
    </x:row>
    <x:row r="624">
      <x:c r="A624" s="33" t="str">
        <x:v>20182018T0006100</x:v>
      </x:c>
      <x:c r="B624" s="33" t="str">
        <x:v>MINARM / ESTM / EPA / ONAC - Office National des Anciens Combattants et victimes de guerre</x:v>
      </x:c>
      <x:c r="C624" s="33" t="str">
        <x:v>KROWN</x:v>
      </x:c>
      <x:c r="D624" s="33" t="str">
        <x:v>Le présent marché a pour objet des travaux de réaménagement du bâtiment d'accueil du Mémorial de la France combattante du Mont-Valérien à Suresnes (92). - Electricité Courants Forts Courants Faibles - SSI</x:v>
      </x:c>
      <x:c r="E624" s="33" t="str">
        <x:v>Travaux d'équipement électrique.</x:v>
      </x:c>
      <x:c r="F624" s="36" t="n">
        <x:v>91645</x:v>
      </x:c>
      <x:c r="G624" s="38" t="n">
        <x:v>43424</x:v>
      </x:c>
      <x:c r="H624" s="38" t="n">
        <x:v>43424</x:v>
      </x:c>
      <x:c r="I624" s="40" t="n">
        <x:v>14</x:v>
      </x:c>
      <x:c r="J624" s="33" t="str">
        <x:v>Marché</x:v>
      </x:c>
      <x:c r="K624" s="33" t="str">
        <x:v>Procédure adaptée</x:v>
      </x:c>
      <x:c r="L624" s="33" t="str">
        <x:v>Ferme et actualisable</x:v>
      </x:c>
      <x:c r="M624" s="33" t="str">
        <x:v>(92) Hauts-de-Seine</x:v>
      </x:c>
      <x:c r="N624" s="33" t="str">
        <x:v>Oui</x:v>
      </x:c>
      <x:c r="O624" s="33" t="str">
        <x:v>data.gouv.fr_aife</x:v>
      </x:c>
      <x:c r="P624" s="33" t="str">
        <x:v>20182018T0006100</x:v>
      </x:c>
    </x:row>
    <x:row r="625">
      <x:c r="A625" s="33" t="str">
        <x:v>2018110004420001</x:v>
      </x:c>
      <x:c r="B625" s="33" t="str">
        <x:v>MINARM / SGA / SID / ESID Toulon - Etablissement du service d'infrastructure de la défense de Toulon - ESID Toulon</x:v>
      </x:c>
      <x:c r="C625" s="33" t="str">
        <x:v>INGEROP CONSEIL ET INGENIERIE (ICI)</x:v>
      </x:c>
      <x:c r="D625" s="33" t="str">
        <x:v>Saint-Mandrier- Accueil des FREMM- Dégazage au Lazaret- Marché de maîtrise d'oeuvre privée</x:v>
      </x:c>
      <x:c r="E625" s="33" t="str">
        <x:v>Services d'ingénierie.</x:v>
      </x:c>
      <x:c r="F625" s="36" t="n">
        <x:v>131578</x:v>
      </x:c>
      <x:c r="G625" s="38" t="n">
        <x:v>43424</x:v>
      </x:c>
      <x:c r="H625" s="38" t="n">
        <x:v>43424</x:v>
      </x:c>
      <x:c r="I625" s="40" t="n">
        <x:v>40</x:v>
      </x:c>
      <x:c r="J625" s="33" t="str">
        <x:v>Marché</x:v>
      </x:c>
      <x:c r="K625" s="33" t="str">
        <x:v>Appel d'offres restreint</x:v>
      </x:c>
      <x:c r="L625" s="33" t="str">
        <x:v>Révisable</x:v>
      </x:c>
      <x:c r="M625" s="33" t="str">
        <x:v>(83) Var</x:v>
      </x:c>
      <x:c r="N625" s="33" t="str">
        <x:v>Oui</x:v>
      </x:c>
      <x:c r="O625" s="33" t="str">
        <x:v>data.gouv.fr_aife</x:v>
      </x:c>
      <x:c r="P625" s="33" t="str">
        <x:v>2018110004420001</x:v>
      </x:c>
    </x:row>
    <x:row r="626">
      <x:c r="A626" s="33" t="str">
        <x:v>2018100013190100</x:v>
      </x:c>
      <x:c r="B626" s="33" t="str">
        <x:v>MINARM / SSF / DSSF Toulon - Direction du service de soutien de la flotte de Toulon - DSSF Toulon</x:v>
      </x:c>
      <x:c r="C626" s="33" t="str">
        <x:v>LOGNAV-CM</x:v>
      </x:c>
      <x:c r="D626" s="33" t="str">
        <x:v>AC M15T20 025 relatif à la fourniture de matériels de robinetterie tels que vannes, soupapes, clapets, robinets, détendeurs, valves, raccords, coudes, tubes, tuyaux, colliers, brides, manchons, flexibles et accessoires associés pour les besoins néces</x:v>
      </x:c>
      <x:c r="E626" s="33" t="str">
        <x:v>Pièces pour navires de guerre.</x:v>
      </x:c>
      <x:c r="F626" s="36" t="n">
        <x:v>5290</x:v>
      </x:c>
      <x:c r="G626" s="38" t="n">
        <x:v>43424</x:v>
      </x:c>
      <x:c r="H626" s="38" t="n">
        <x:v>43424</x:v>
      </x:c>
      <x:c r="I626" s="40" t="n">
        <x:v>3</x:v>
      </x:c>
      <x:c r="J626" s="33" t="str">
        <x:v>Marché subséquent</x:v>
      </x:c>
      <x:c r="K626" s="33" t="str">
        <x:v>Appel d'offres ouvert</x:v>
      </x:c>
      <x:c r="L626" s="33" t="str">
        <x:v>Ferme et actualisable</x:v>
      </x:c>
      <x:c r="M626" s="33" t="str">
        <x:v>(83) Var</x:v>
      </x:c>
      <x:c r="N626" s="33" t="str">
        <x:v>Oui</x:v>
      </x:c>
      <x:c r="O626" s="33" t="str">
        <x:v>data.gouv.fr_aife</x:v>
      </x:c>
      <x:c r="P626" s="33" t="str">
        <x:v>2018100013190100</x:v>
      </x:c>
    </x:row>
    <x:row r="627">
      <x:c r="A627" s="33" t="str">
        <x:v>20182018T5014000</x:v>
      </x:c>
      <x:c r="B627" s="33" t="str">
        <x:v>MINARM / ESTM / EPA / ONAC - Office National des Anciens Combattants et victimes de guerre</x:v>
      </x:c>
      <x:c r="C627" s="33" t="str">
        <x:v>ENTREPRISE ALATI</x:v>
      </x:c>
      <x:c r="D627" s="33" t="str">
        <x:v>Le présent marché a pour objet des travaux de réaménagement du bâtiment d'accueil du Mémorial de la France combattante du Mont-Valérien à Suresnes (92). - Menuiseries Extérieures - Occultation</x:v>
      </x:c>
      <x:c r="E627" s="33" t="str">
        <x:v>Travaux de menuiserie.</x:v>
      </x:c>
      <x:c r="F627" s="36" t="n">
        <x:v>105359</x:v>
      </x:c>
      <x:c r="G627" s="38" t="n">
        <x:v>43424</x:v>
      </x:c>
      <x:c r="H627" s="38" t="n">
        <x:v>43424</x:v>
      </x:c>
      <x:c r="I627" s="40" t="n">
        <x:v>14</x:v>
      </x:c>
      <x:c r="J627" s="33" t="str">
        <x:v>Marché</x:v>
      </x:c>
      <x:c r="K627" s="33" t="str">
        <x:v>Procédure adaptée</x:v>
      </x:c>
      <x:c r="L627" s="33" t="str">
        <x:v>Ferme et actualisable</x:v>
      </x:c>
      <x:c r="M627" s="33" t="str">
        <x:v>(92) Hauts-de-Seine</x:v>
      </x:c>
      <x:c r="N627" s="33" t="str">
        <x:v>Oui</x:v>
      </x:c>
      <x:c r="O627" s="33" t="str">
        <x:v>data.gouv.fr_aife</x:v>
      </x:c>
      <x:c r="P627" s="33" t="str">
        <x:v>20182018T5014000</x:v>
      </x:c>
    </x:row>
    <x:row r="628">
      <x:c r="A628" s="33" t="str">
        <x:v>2018150911995100</x:v>
      </x:c>
      <x:c r="B628" s="33" t="str">
        <x:v>MINARM / SGA / SID / ESID Rennes - Etablissement du service d'infrastructure de la défense de Rennes - ESID Rennes</x:v>
      </x:c>
      <x:c r="C628" s="33" t="str">
        <x:v>TYCO INTEGRATED FIRE &amp; SECURITY FRANCE</x:v>
      </x:c>
      <x:c r="D628" s="33" t="str">
        <x:v>Val de Reuil (27) travaux de modification d'un système de détection et d'extinction incendie automatique</x:v>
      </x:c>
      <x:c r="E628" s="33" t="str">
        <x:v>Travaux d'installation de dispositifs d'extinction d'incendie.</x:v>
      </x:c>
      <x:c r="F628" s="36" t="n">
        <x:v>76576</x:v>
      </x:c>
      <x:c r="G628" s="38" t="n">
        <x:v>43425</x:v>
      </x:c>
      <x:c r="H628" s="38" t="n">
        <x:v>43425</x:v>
      </x:c>
      <x:c r="I628" s="40" t="n">
        <x:v>3</x:v>
      </x:c>
      <x:c r="J628" s="33" t="str">
        <x:v>Marché</x:v>
      </x:c>
      <x:c r="K628" s="33" t="str">
        <x:v>Appel d'offres ouvert</x:v>
      </x:c>
      <x:c r="L628" s="33" t="str">
        <x:v>Ferme et actualisable</x:v>
      </x:c>
      <x:c r="M628" s="33" t="str">
        <x:v>(27) Eure</x:v>
      </x:c>
      <x:c r="N628" s="33" t="str">
        <x:v>Oui</x:v>
      </x:c>
      <x:c r="O628" s="33" t="str">
        <x:v>data.gouv.fr_aife</x:v>
      </x:c>
      <x:c r="P628" s="33" t="str">
        <x:v>2018150911995100</x:v>
      </x:c>
    </x:row>
    <x:row r="629">
      <x:c r="A629" s="33" t="str">
        <x:v>2018150912008800</x:v>
      </x:c>
      <x:c r="B629" s="33" t="str">
        <x:v>MINARM / SGA / SPAC - Service Parisien de Soutien de l'Administration Centrale - SPAC</x:v>
      </x:c>
      <x:c r="C629" s="33" t="str">
        <x:v>INSTITUT RELATIONS INT STRATEGIQUES</x:v>
      </x:c>
      <x:c r="D629" s="33" t="str">
        <x:v>Étude prospective et stratégique n°2018-23 intitulée : « Financement des entreprises dans le domaine de la Défense ».</x:v>
      </x:c>
      <x:c r="E629" s="33" t="str">
        <x:v>Services de défense.</x:v>
      </x:c>
      <x:c r="F629" s="36" t="n">
        <x:v>42800</x:v>
      </x:c>
      <x:c r="G629" s="38" t="n">
        <x:v>43425</x:v>
      </x:c>
      <x:c r="H629" s="38" t="n">
        <x:v>43425</x:v>
      </x:c>
      <x:c r="I629" s="40" t="n">
        <x:v>11</x:v>
      </x:c>
      <x:c r="J629" s="33" t="str">
        <x:v>Marché</x:v>
      </x:c>
      <x:c r="K629" s="33" t="str">
        <x:v>Procédure adaptée</x:v>
      </x:c>
      <x:c r="L629" s="33" t="str">
        <x:v>Ferme et actualisable</x:v>
      </x:c>
      <x:c r="M629" s="33" t="str">
        <x:v>(75) Paris</x:v>
      </x:c>
      <x:c r="N629" s="33" t="str">
        <x:v>Oui</x:v>
      </x:c>
      <x:c r="O629" s="33" t="str">
        <x:v>data.gouv.fr_aife</x:v>
      </x:c>
      <x:c r="P629" s="33" t="str">
        <x:v>2018150912008800</x:v>
      </x:c>
    </x:row>
    <x:row r="630">
      <x:c r="A630" s="33" t="str">
        <x:v>2018100013173900</x:v>
      </x:c>
      <x:c r="B630" s="33" t="str">
        <x:v>MINARM / SSF / DSSF Toulon - Direction du service de soutien de la flotte de Toulon - DSSF Toulon</x:v>
      </x:c>
      <x:c r="C630" s="33" t="str">
        <x:v>LOGNAV-CM</x:v>
      </x:c>
      <x:c r="D630" s="33" t="str">
        <x:v>AC 2015M15T20 052 relatif à l’approvisionnement de matériels de filtration pour le maintien en condition opérationnelle (MCO) des Eléments de Force Maritime (EFM) et des Eléments de Force Armées (EFA). -</x:v>
      </x:c>
      <x:c r="E630" s="33" t="str">
        <x:v>Filtres à huile, filtres à essence et filtres à air.</x:v>
      </x:c>
      <x:c r="F630" s="36" t="n">
        <x:v>24130</x:v>
      </x:c>
      <x:c r="G630" s="38" t="n">
        <x:v>43425</x:v>
      </x:c>
      <x:c r="H630" s="38" t="n">
        <x:v>43425</x:v>
      </x:c>
      <x:c r="I630" s="40" t="n">
        <x:v>7</x:v>
      </x:c>
      <x:c r="J630" s="33" t="str">
        <x:v>Marché subséquent</x:v>
      </x:c>
      <x:c r="K630" s="33" t="str">
        <x:v>Appel d'offres ouvert</x:v>
      </x:c>
      <x:c r="L630" s="33" t="str">
        <x:v>Ferme et actualisable</x:v>
      </x:c>
      <x:c r="M630" s="33" t="str">
        <x:v>(83) Var</x:v>
      </x:c>
      <x:c r="N630" s="33" t="str">
        <x:v>Oui</x:v>
      </x:c>
      <x:c r="O630" s="33" t="str">
        <x:v>data.gouv.fr_aife</x:v>
      </x:c>
      <x:c r="P630" s="33" t="str">
        <x:v>2018100013173900</x:v>
      </x:c>
    </x:row>
    <x:row r="631">
      <x:c r="A631" s="33" t="str">
        <x:v>2018100013180700</x:v>
      </x:c>
      <x:c r="B631" s="33" t="str">
        <x:v>MINARM / SSF / DSSF Toulon - Direction du service de soutien de la flotte de Toulon - DSSF Toulon</x:v>
      </x:c>
      <x:c r="C631" s="33" t="str">
        <x:v>LOGNAV-CM</x:v>
      </x:c>
      <x:c r="D631" s="33" t="str">
        <x:v>Accord cadre N° 2016 M 16 T 20 010 relatif à l’approvisionnement de matériels électriques et électroniques pour le maintien en condition opérationnelle (MCO) des Eléments de Force Maritime (EFM) et des Eléments de Force Armées (EFA). -</x:v>
      </x:c>
      <x:c r="E631" s="33" t="str">
        <x:v>Pièces électroniques et électriques de rechange pour navires de guerre.</x:v>
      </x:c>
      <x:c r="F631" s="36" t="n">
        <x:v>1227</x:v>
      </x:c>
      <x:c r="G631" s="38" t="n">
        <x:v>43425</x:v>
      </x:c>
      <x:c r="H631" s="38" t="n">
        <x:v>43425</x:v>
      </x:c>
      <x:c r="I631" s="40" t="n">
        <x:v>2</x:v>
      </x:c>
      <x:c r="J631" s="33" t="str">
        <x:v>Marché subséquent</x:v>
      </x:c>
      <x:c r="K631" s="33" t="str">
        <x:v>Appel d'offres ouvert</x:v>
      </x:c>
      <x:c r="L631" s="33" t="str">
        <x:v>Ferme et actualisable</x:v>
      </x:c>
      <x:c r="M631" s="33" t="str">
        <x:v>(83) Var</x:v>
      </x:c>
      <x:c r="N631" s="33" t="str">
        <x:v>Oui</x:v>
      </x:c>
      <x:c r="O631" s="33" t="str">
        <x:v>data.gouv.fr_aife</x:v>
      </x:c>
      <x:c r="P631" s="33" t="str">
        <x:v>2018100013180700</x:v>
      </x:c>
    </x:row>
    <x:row r="632">
      <x:c r="A632" s="33" t="str">
        <x:v>2018150911998000</x:v>
      </x:c>
      <x:c r="B632" s="33" t="str">
        <x:v>MINARM / SGA / SPAC - Service Parisien de Soutien de l'Administration Centrale - SPAC</x:v>
      </x:c>
      <x:c r="C632" s="33" t="str">
        <x:v>INSTITUT RELATIONS INT STRATEGIQUES</x:v>
      </x:c>
      <x:c r="D632" s="33" t="str">
        <x:v>Étude prospective et stratégique n°2018-13 intitulée : « Le développement international des PME de défense françaises ».</x:v>
      </x:c>
      <x:c r="E632" s="33" t="str">
        <x:v>Services de défense.</x:v>
      </x:c>
      <x:c r="F632" s="36" t="n">
        <x:v>38520</x:v>
      </x:c>
      <x:c r="G632" s="38" t="n">
        <x:v>43425</x:v>
      </x:c>
      <x:c r="H632" s="38" t="n">
        <x:v>43425</x:v>
      </x:c>
      <x:c r="I632" s="40" t="n">
        <x:v>8</x:v>
      </x:c>
      <x:c r="J632" s="33" t="str">
        <x:v>Marché</x:v>
      </x:c>
      <x:c r="K632" s="33" t="str">
        <x:v>Procédure adaptée</x:v>
      </x:c>
      <x:c r="L632" s="33" t="str">
        <x:v>Ferme et actualisable</x:v>
      </x:c>
      <x:c r="M632" s="33" t="str">
        <x:v>(75) Paris</x:v>
      </x:c>
      <x:c r="N632" s="33" t="str">
        <x:v>Oui</x:v>
      </x:c>
      <x:c r="O632" s="33" t="str">
        <x:v>data.gouv.fr_aife</x:v>
      </x:c>
      <x:c r="P632" s="33" t="str">
        <x:v>2018150911998000</x:v>
      </x:c>
    </x:row>
    <x:row r="633">
      <x:c r="A633" s="33" t="str">
        <x:v>2018100013210200</x:v>
      </x:c>
      <x:c r="B633" s="33" t="str">
        <x:v>MINARM / SSF / DSSF Toulon - Direction du service de soutien de la flotte de Toulon - DSSF Toulon</x:v>
      </x:c>
      <x:c r="C633" s="33" t="str">
        <x:v>LE LITTORAL</x:v>
      </x:c>
      <x:c r="D633" s="33" t="str">
        <x:v>AC M15T20 025 relatif à la fourniture de matériels de robinetterie tels que vannes, soupapes, clapets, robinets, détendeurs, valves, raccords, coudes, tubes, tuyaux, colliers, brides, manchons, flexibles et accessoires associés pour les besoins néces</x:v>
      </x:c>
      <x:c r="E633" s="33" t="str">
        <x:v>Pièces pour navires de guerre.</x:v>
      </x:c>
      <x:c r="F633" s="36" t="n">
        <x:v>10362</x:v>
      </x:c>
      <x:c r="G633" s="38" t="n">
        <x:v>43425</x:v>
      </x:c>
      <x:c r="H633" s="38" t="n">
        <x:v>43425</x:v>
      </x:c>
      <x:c r="I633" s="40" t="n">
        <x:v>2</x:v>
      </x:c>
      <x:c r="J633" s="33" t="str">
        <x:v>Marché subséquent</x:v>
      </x:c>
      <x:c r="K633" s="33" t="str">
        <x:v>Appel d'offres ouvert</x:v>
      </x:c>
      <x:c r="L633" s="33" t="str">
        <x:v>Ferme et actualisable</x:v>
      </x:c>
      <x:c r="M633" s="33" t="str">
        <x:v>(83) Var</x:v>
      </x:c>
      <x:c r="N633" s="33" t="str">
        <x:v>Oui</x:v>
      </x:c>
      <x:c r="O633" s="33" t="str">
        <x:v>data.gouv.fr_aife</x:v>
      </x:c>
      <x:c r="P633" s="33" t="str">
        <x:v>2018100013210200</x:v>
      </x:c>
    </x:row>
    <x:row r="634">
      <x:c r="A634" s="33" t="str">
        <x:v>2018130013913700</x:v>
      </x:c>
      <x:c r="B634" s="33" t="str">
        <x:v>MINARM / DMAé - Direction de la maintenance aéronautique</x:v>
      </x:c>
      <x:c r="C634" s="33" t="str">
        <x:v>ORBITICS</x:v>
      </x:c>
      <x:c r="D634" s="33" t="str">
        <x:v>Mise à disposition de données numériques de navigation FMS et GPS pour les aéronefs de l'État français et environnement associés</x:v>
      </x:c>
      <x:c r="E634" s="33" t="str">
        <x:v>Services de réparation, d'entretien et services connexes relatifs aux aéronefs et à d'autres équipements.</x:v>
      </x:c>
      <x:c r="F634" s="36" t="n">
        <x:v>6630657</x:v>
      </x:c>
      <x:c r="G634" s="38" t="n">
        <x:v>43425</x:v>
      </x:c>
      <x:c r="H634" s="38" t="n">
        <x:v>43425</x:v>
      </x:c>
      <x:c r="I634" s="40" t="n">
        <x:v>48</x:v>
      </x:c>
      <x:c r="J634" s="33" t="str">
        <x:v>Accord-cadre</x:v>
      </x:c>
      <x:c r="K634" s="33" t="str"/>
      <x:c r="L634" s="33" t="str">
        <x:v>Révisable</x:v>
      </x:c>
      <x:c r="M634" s="33" t="str">
        <x:v>(31) Haute-Garonne</x:v>
      </x:c>
      <x:c r="N634" s="33" t="str">
        <x:v>Oui</x:v>
      </x:c>
      <x:c r="O634" s="33" t="str">
        <x:v>data.gouv.fr_aife</x:v>
      </x:c>
      <x:c r="P634" s="33" t="str">
        <x:v>2018130013913700</x:v>
      </x:c>
    </x:row>
    <x:row r="635">
      <x:c r="A635" s="33" t="str">
        <x:v>2018100013201500</x:v>
      </x:c>
      <x:c r="B635" s="33" t="str">
        <x:v>MINARM / SSF / DSSF Toulon - Direction du service de soutien de la flotte de Toulon - DSSF Toulon</x:v>
      </x:c>
      <x:c r="C635" s="33" t="str">
        <x:v>F.P.M.</x:v>
      </x:c>
      <x:c r="D635" s="33" t="str">
        <x:v>Accord cadre M16T20 014 relatif à l’approvisionnement de matériels courants de pompes et compresseurs, surpresseurs et accessoires associés pour les besoins nécessaires au maintien en condition opérationnelle (MCO) des Eléments de Force Maritime (</x:v>
      </x:c>
      <x:c r="E635" s="33" t="str">
        <x:v>Pièces pour navires de guerre.</x:v>
      </x:c>
      <x:c r="F635" s="36" t="n">
        <x:v>15832</x:v>
      </x:c>
      <x:c r="G635" s="38" t="n">
        <x:v>43425</x:v>
      </x:c>
      <x:c r="H635" s="38" t="n">
        <x:v>43425</x:v>
      </x:c>
      <x:c r="I635" s="40" t="n">
        <x:v>5</x:v>
      </x:c>
      <x:c r="J635" s="33" t="str">
        <x:v>Marché subséquent</x:v>
      </x:c>
      <x:c r="K635" s="33" t="str">
        <x:v>Appel d'offres ouvert</x:v>
      </x:c>
      <x:c r="L635" s="33" t="str">
        <x:v>Ferme et actualisable</x:v>
      </x:c>
      <x:c r="M635" s="33" t="str">
        <x:v>(83) Var</x:v>
      </x:c>
      <x:c r="N635" s="33" t="str">
        <x:v>Oui</x:v>
      </x:c>
      <x:c r="O635" s="33" t="str">
        <x:v>data.gouv.fr_aife</x:v>
      </x:c>
      <x:c r="P635" s="33" t="str">
        <x:v>2018100013201500</x:v>
      </x:c>
    </x:row>
    <x:row r="636">
      <x:c r="A636" s="33" t="str">
        <x:v>2018160004987000</x:v>
      </x:c>
      <x:c r="B636" s="33" t="str">
        <x:v>MINARM / SGA / SID / ESID Toulon - Etablissement du service d'infrastructure de la défense de Toulon - ESID Toulon</x:v>
      </x:c>
      <x:c r="C636" s="33" t="str">
        <x:v>CAP INGELEC SA</x:v>
      </x:c>
      <x:c r="D636" s="33" t="str">
        <x:v>Réalisation de deux centrales de conversion dédiées au porte-avions Charles De Gaulle (PA CdG) - Mission d'assistance à la maîtrise d'ouvrage pour la spécification du besoin et le suivi de l'exécution des prestations</x:v>
      </x:c>
      <x:c r="E636" s="33" t="str">
        <x:v>Services d'assistance dans le domaine de l'ingénierie.</x:v>
      </x:c>
      <x:c r="F636" s="36" t="n">
        <x:v>862568</x:v>
      </x:c>
      <x:c r="G636" s="38" t="n">
        <x:v>43425</x:v>
      </x:c>
      <x:c r="H636" s="38" t="n">
        <x:v>43425</x:v>
      </x:c>
      <x:c r="I636" s="40" t="n">
        <x:v>74</x:v>
      </x:c>
      <x:c r="J636" s="33" t="str">
        <x:v>Marché</x:v>
      </x:c>
      <x:c r="K636" s="33" t="str">
        <x:v>Appel d'offres ouvert</x:v>
      </x:c>
      <x:c r="L636" s="33" t="str">
        <x:v>Révisable</x:v>
      </x:c>
      <x:c r="M636" s="33" t="str">
        <x:v>(83) Var</x:v>
      </x:c>
      <x:c r="N636" s="33" t="str">
        <x:v>Oui</x:v>
      </x:c>
      <x:c r="O636" s="33" t="str">
        <x:v>data.gouv.fr_aife</x:v>
      </x:c>
      <x:c r="P636" s="33" t="str">
        <x:v>2018160004987000</x:v>
      </x:c>
    </x:row>
    <x:row r="637">
      <x:c r="A637" s="33" t="str">
        <x:v>2018150910276000</x:v>
      </x:c>
      <x:c r="B637" s="33" t="str">
        <x:v>MINARM / SGA / SID / ESID Metz - Etablissement du service d'infrastructure de la défense de Metz - ESID Metz</x:v>
      </x:c>
      <x:c r="C637" s="33" t="str">
        <x:v>ENTREPRISE FORIEN PERE ET FILS</x:v>
      </x:c>
      <x:c r="D637" s="33" t="str">
        <x:v>VALDAHON (25) - Camp de passage - Aire de lavage - Ilot 1 - Réfection du décrottoir</x:v>
      </x:c>
      <x:c r="E637" s="33" t="str">
        <x:v>Travaux de mise en œuvre de béton armé.</x:v>
      </x:c>
      <x:c r="F637" s="36" t="n">
        <x:v>34405</x:v>
      </x:c>
      <x:c r="G637" s="38" t="n">
        <x:v>43425</x:v>
      </x:c>
      <x:c r="H637" s="38" t="n">
        <x:v>43425</x:v>
      </x:c>
      <x:c r="I637" s="40" t="n">
        <x:v>3</x:v>
      </x:c>
      <x:c r="J637" s="33" t="str">
        <x:v>Marché</x:v>
      </x:c>
      <x:c r="K637" s="33" t="str">
        <x:v>Appel d'offres ouvert</x:v>
      </x:c>
      <x:c r="L637" s="33" t="str">
        <x:v>Ferme et actualisable</x:v>
      </x:c>
      <x:c r="M637" s="33" t="str">
        <x:v>(25) Doubs</x:v>
      </x:c>
      <x:c r="N637" s="33" t="str">
        <x:v>Oui</x:v>
      </x:c>
      <x:c r="O637" s="33" t="str">
        <x:v>data.gouv.fr_aife</x:v>
      </x:c>
      <x:c r="P637" s="33" t="str">
        <x:v>2018150910276000</x:v>
      </x:c>
    </x:row>
    <x:row r="638">
      <x:c r="A638" s="33" t="str">
        <x:v>2018130013871700</x:v>
      </x:c>
      <x:c r="B638" s="33" t="str">
        <x:v>MINARM / SGA / SID / ESID Rennes - Etablissement du service d'infrastructure de la défense de Rennes - ESID Rennes</x:v>
      </x:c>
      <x:c r="C638" s="33" t="str">
        <x:v>ENTREPRISE HEMERY</x:v>
      </x:c>
      <x:c r="D638" s="33" t="str">
        <x:v>BOURGES (18) - BdD - Travaux d'entretien et de réparation des couvertures sur les sites militaires - BOURGES (18) - BdD - Travaux d'entretien et de réparation des couvertures sur les sites militaires -</x:v>
      </x:c>
      <x:c r="E638" s="33" t="str">
        <x:v>Travaux de couverture et travaux d'autres corps de métier spécialisés.</x:v>
      </x:c>
      <x:c r="F638" s="36" t="n">
        <x:v>4800000</x:v>
      </x:c>
      <x:c r="G638" s="38" t="n">
        <x:v>43425</x:v>
      </x:c>
      <x:c r="H638" s="38" t="n">
        <x:v>43425</x:v>
      </x:c>
      <x:c r="I638" s="40" t="n">
        <x:v>48</x:v>
      </x:c>
      <x:c r="J638" s="33" t="str">
        <x:v>Accord-cadre</x:v>
      </x:c>
      <x:c r="K638" s="33" t="str">
        <x:v>Appel d'offres ouvert</x:v>
      </x:c>
      <x:c r="L638" s="33" t="str">
        <x:v>Révisable</x:v>
      </x:c>
      <x:c r="M638" s="33" t="str">
        <x:v>(18) Cher</x:v>
      </x:c>
      <x:c r="N638" s="33" t="str">
        <x:v>Oui</x:v>
      </x:c>
      <x:c r="O638" s="33" t="str">
        <x:v>data.gouv.fr_aife</x:v>
      </x:c>
      <x:c r="P638" s="33" t="str">
        <x:v>2018130013871700</x:v>
      </x:c>
    </x:row>
    <x:row r="639">
      <x:c r="A639" s="33" t="str">
        <x:v>2018150907833800</x:v>
      </x:c>
      <x:c r="B639" s="33" t="str">
        <x:v>MINARM / SGA / SID / ESID Metz - Etablissement du service d'infrastructure de la défense de Metz - ESID Metz</x:v>
      </x:c>
      <x:c r="C639" s="33" t="str">
        <x:v>COLAS NORD-EST</x:v>
      </x:c>
      <x:c r="D639" s="33" t="str">
        <x:v>MAPA projet n°18/USID08/128 – SAINT JEAN KOURTZERODE (57) – Quartier La Horie – - Réfection du parcours d’obstacles</x:v>
      </x:c>
      <x:c r="E639" s="33" t="str">
        <x:v>Travaux de revêtement divers.</x:v>
      </x:c>
      <x:c r="F639" s="36" t="n">
        <x:v>52366</x:v>
      </x:c>
      <x:c r="G639" s="38" t="n">
        <x:v>43425</x:v>
      </x:c>
      <x:c r="H639" s="38" t="n">
        <x:v>43425</x:v>
      </x:c>
      <x:c r="I639" s="40" t="n">
        <x:v>3</x:v>
      </x:c>
      <x:c r="J639" s="33" t="str">
        <x:v>Marché</x:v>
      </x:c>
      <x:c r="K639" s="33" t="str">
        <x:v>Procédure adaptée</x:v>
      </x:c>
      <x:c r="L639" s="33" t="str">
        <x:v>Ferme et actualisable</x:v>
      </x:c>
      <x:c r="M639" s="33" t="str">
        <x:v>(57) Moselle</x:v>
      </x:c>
      <x:c r="N639" s="33" t="str">
        <x:v>Oui</x:v>
      </x:c>
      <x:c r="O639" s="33" t="str">
        <x:v>data.gouv.fr_aife</x:v>
      </x:c>
      <x:c r="P639" s="33" t="str">
        <x:v>2018150907833800</x:v>
      </x:c>
    </x:row>
    <x:row r="640">
      <x:c r="A640" s="33" t="str">
        <x:v>2018100013172200</x:v>
      </x:c>
      <x:c r="B640" s="33" t="str">
        <x:v>MINARM / SCA / PFC Sud - Plate-forme commissariat Sud (Toulon)</x:v>
      </x:c>
      <x:c r="C640" s="33" t="str">
        <x:v>SARL DUSEAUX</x:v>
      </x:c>
      <x:c r="D640" s="33" t="str">
        <x:v>Réalisation et livraison d'insignes et de supports au profit d'organismes relevant du ministère de la défense</x:v>
      </x:c>
      <x:c r="E640" s="33" t="str">
        <x:v>Médailles.</x:v>
      </x:c>
      <x:c r="F640" s="36" t="n">
        <x:v>48933</x:v>
      </x:c>
      <x:c r="G640" s="38" t="n">
        <x:v>43425</x:v>
      </x:c>
      <x:c r="H640" s="38" t="n">
        <x:v>43425</x:v>
      </x:c>
      <x:c r="I640" s="40" t="n">
        <x:v>7</x:v>
      </x:c>
      <x:c r="J640" s="33" t="str">
        <x:v>Marché subséquent</x:v>
      </x:c>
      <x:c r="K640" s="33" t="str">
        <x:v>Appel d'offres ouvert</x:v>
      </x:c>
      <x:c r="L640" s="33" t="str">
        <x:v>Ferme</x:v>
      </x:c>
      <x:c r="M640" s="33" t="str">
        <x:v>(83) Var</x:v>
      </x:c>
      <x:c r="N640" s="33" t="str">
        <x:v>Oui</x:v>
      </x:c>
      <x:c r="O640" s="33" t="str">
        <x:v>data.gouv.fr_aife</x:v>
      </x:c>
      <x:c r="P640" s="33" t="str">
        <x:v>2018100013172200</x:v>
      </x:c>
    </x:row>
    <x:row r="641">
      <x:c r="A641" s="33" t="str">
        <x:v>2018100013209200</x:v>
      </x:c>
      <x:c r="B641" s="33" t="str">
        <x:v>MINARM / SSF / DSSF Toulon - Direction du service de soutien de la flotte de Toulon - DSSF Toulon</x:v>
      </x:c>
      <x:c r="C641" s="33" t="str">
        <x:v>LE LITTORAL</x:v>
      </x:c>
      <x:c r="D641" s="33" t="str">
        <x:v>AC M16T20 015 relatif à l’approvisionnement de fourniture de matériels de mesure et de contrôle nécessaires au maintien en condition opérationnelle (MCO) des Eléments de Force Maritime (EFM) et des Eléments de Force Armées (EFA). -</x:v>
      </x:c>
      <x:c r="E641" s="33" t="str">
        <x:v>Pièces pour navires de guerre.</x:v>
      </x:c>
      <x:c r="F641" s="36" t="n">
        <x:v>16209</x:v>
      </x:c>
      <x:c r="G641" s="38" t="n">
        <x:v>43425</x:v>
      </x:c>
      <x:c r="H641" s="38" t="n">
        <x:v>43425</x:v>
      </x:c>
      <x:c r="I641" s="40" t="n">
        <x:v>7</x:v>
      </x:c>
      <x:c r="J641" s="33" t="str">
        <x:v>Marché subséquent</x:v>
      </x:c>
      <x:c r="K641" s="33" t="str">
        <x:v>Appel d'offres ouvert</x:v>
      </x:c>
      <x:c r="L641" s="33" t="str">
        <x:v>Ferme et actualisable</x:v>
      </x:c>
      <x:c r="M641" s="33" t="str">
        <x:v>(83) Var</x:v>
      </x:c>
      <x:c r="N641" s="33" t="str">
        <x:v>Oui</x:v>
      </x:c>
      <x:c r="O641" s="33" t="str">
        <x:v>data.gouv.fr_aife</x:v>
      </x:c>
      <x:c r="P641" s="33" t="str">
        <x:v>2018100013209200</x:v>
      </x:c>
    </x:row>
    <x:row r="642">
      <x:c r="A642" s="33" t="str">
        <x:v>2018100013218000</x:v>
      </x:c>
      <x:c r="B642" s="33" t="str">
        <x:v>MINARM / SSF / DSSF Toulon - Direction du service de soutien de la flotte de Toulon - DSSF Toulon</x:v>
      </x:c>
      <x:c r="C642" s="33" t="str">
        <x:v>LE LITTORAL</x:v>
      </x:c>
      <x:c r="D642" s="33" t="str">
        <x:v>Accord cadre N° 2015M15T20025 relatif à la fourniture de matériels de robinetterie tels que vannes, soupapes, clapets, robinets, détendeurs, valves, raccords, coudes, tubes, tuyaux, colliers, brides, manchons, flexibles et accessoires associés pour l</x:v>
      </x:c>
      <x:c r="E642" s="33" t="str">
        <x:v>Pièces pour navires de guerre.</x:v>
      </x:c>
      <x:c r="F642" s="36" t="n">
        <x:v>16143</x:v>
      </x:c>
      <x:c r="G642" s="38" t="n">
        <x:v>43425</x:v>
      </x:c>
      <x:c r="H642" s="38" t="n">
        <x:v>43425</x:v>
      </x:c>
      <x:c r="I642" s="40" t="n">
        <x:v>2</x:v>
      </x:c>
      <x:c r="J642" s="33" t="str">
        <x:v>Marché subséquent</x:v>
      </x:c>
      <x:c r="K642" s="33" t="str">
        <x:v>Appel d'offres ouvert</x:v>
      </x:c>
      <x:c r="L642" s="33" t="str">
        <x:v>Ferme et actualisable</x:v>
      </x:c>
      <x:c r="M642" s="33" t="str">
        <x:v>(83) Var</x:v>
      </x:c>
      <x:c r="N642" s="33" t="str">
        <x:v>Oui</x:v>
      </x:c>
      <x:c r="O642" s="33" t="str">
        <x:v>data.gouv.fr_aife</x:v>
      </x:c>
      <x:c r="P642" s="33" t="str">
        <x:v>2018100013218000</x:v>
      </x:c>
    </x:row>
    <x:row r="643">
      <x:c r="A643" s="33" t="str">
        <x:v>20182018T0006200</x:v>
      </x:c>
      <x:c r="B643" s="33" t="str">
        <x:v>MINARM / ESTM / EPA / ONAC - Office National des Anciens Combattants et victimes de guerre</x:v>
      </x:c>
      <x:c r="C643" s="33" t="str">
        <x:v>HELIO ENERGIE</x:v>
      </x:c>
      <x:c r="D643" s="33" t="str">
        <x:v>Le présent marché a pour objet des travaux de réaménagement du bâtiment d'accueil du Mémorial de la France combattante du Mont-Valérien à Suresnes (92). - Plomberie Sanitaires Chauffage - CVC</x:v>
      </x:c>
      <x:c r="E643" s="33" t="str">
        <x:v>Travaux de plomberie.</x:v>
      </x:c>
      <x:c r="F643" s="36" t="n">
        <x:v>96083</x:v>
      </x:c>
      <x:c r="G643" s="38" t="n">
        <x:v>43425</x:v>
      </x:c>
      <x:c r="H643" s="38" t="n">
        <x:v>43425</x:v>
      </x:c>
      <x:c r="I643" s="40" t="n">
        <x:v>14</x:v>
      </x:c>
      <x:c r="J643" s="33" t="str">
        <x:v>Marché</x:v>
      </x:c>
      <x:c r="K643" s="33" t="str">
        <x:v>Procédure adaptée</x:v>
      </x:c>
      <x:c r="L643" s="33" t="str">
        <x:v>Ferme et actualisable</x:v>
      </x:c>
      <x:c r="M643" s="33" t="str">
        <x:v>(92) Hauts-de-Seine</x:v>
      </x:c>
      <x:c r="N643" s="33" t="str">
        <x:v>Oui</x:v>
      </x:c>
      <x:c r="O643" s="33" t="str">
        <x:v>data.gouv.fr_aife</x:v>
      </x:c>
      <x:c r="P643" s="33" t="str">
        <x:v>20182018T0006200</x:v>
      </x:c>
    </x:row>
    <x:row r="644">
      <x:c r="A644" s="33" t="str">
        <x:v>2018150911049000</x:v>
      </x:c>
      <x:c r="B644" s="33" t="str">
        <x:v>MINARM / DGA / DO / S2A / PROD / DA-BA - Division achats - Toulouse/Balma</x:v>
      </x:c>
      <x:c r="C644" s="33" t="str">
        <x:v>SCIENTEC</x:v>
      </x:c>
      <x:c r="D644" s="33" t="str">
        <x:v>Acquisition d’un système de spectroradiométrie de laboratoire pour le visible et le proche-infrarouge</x:v>
      </x:c>
      <x:c r="E644" s="33" t="str">
        <x:v>Systèmes de guerre électronique et contre-mesures.</x:v>
      </x:c>
      <x:c r="F644" s="36" t="n">
        <x:v>108024</x:v>
      </x:c>
      <x:c r="G644" s="38" t="n">
        <x:v>43426</x:v>
      </x:c>
      <x:c r="H644" s="38" t="n">
        <x:v>43426</x:v>
      </x:c>
      <x:c r="I644" s="40" t="n">
        <x:v>4</x:v>
      </x:c>
      <x:c r="J644" s="33" t="str">
        <x:v>Marché</x:v>
      </x:c>
      <x:c r="K644" s="33" t="str">
        <x:v>Procédure adaptée</x:v>
      </x:c>
      <x:c r="L644" s="33" t="str">
        <x:v>Ferme</x:v>
      </x:c>
      <x:c r="M644" s="33" t="str">
        <x:v>(31) Haute-Garonne</x:v>
      </x:c>
      <x:c r="N644" s="33" t="str">
        <x:v>Oui</x:v>
      </x:c>
      <x:c r="O644" s="33" t="str">
        <x:v>data.gouv.fr_aife</x:v>
      </x:c>
      <x:c r="P644" s="33" t="str">
        <x:v>2018150911049000</x:v>
      </x:c>
    </x:row>
    <x:row r="645">
      <x:c r="A645" s="33" t="str">
        <x:v>2018100013203000</x:v>
      </x:c>
      <x:c r="B645" s="33" t="str">
        <x:v>MINARM / SSF / DSSF Toulon - Direction du service de soutien de la flotte de Toulon - DSSF Toulon</x:v>
      </x:c>
      <x:c r="C645" s="33" t="str">
        <x:v>LOGNAV-CM</x:v>
      </x:c>
      <x:c r="D645" s="33" t="str">
        <x:v>Accord cadre N° 2016M16T20024 relatif à la fourniture de rechanges de joints d’étanchéité divers pour les besoins nécessaires au maintien en condition opérationnelle des Eléments de la Force Maritime. - Marché subséquent : N° K18T2002424 relati</x:v>
      </x:c>
      <x:c r="E645" s="33" t="str">
        <x:v>Pièces pour navires de guerre.</x:v>
      </x:c>
      <x:c r="F645" s="36" t="n">
        <x:v>3521</x:v>
      </x:c>
      <x:c r="G645" s="38" t="n">
        <x:v>43426</x:v>
      </x:c>
      <x:c r="H645" s="38" t="n">
        <x:v>43426</x:v>
      </x:c>
      <x:c r="I645" s="40" t="n">
        <x:v>6</x:v>
      </x:c>
      <x:c r="J645" s="33" t="str">
        <x:v>Marché subséquent</x:v>
      </x:c>
      <x:c r="K645" s="33" t="str">
        <x:v>Appel d'offres ouvert</x:v>
      </x:c>
      <x:c r="L645" s="33" t="str">
        <x:v>Ferme et actualisable</x:v>
      </x:c>
      <x:c r="M645" s="33" t="str">
        <x:v>(83) Var</x:v>
      </x:c>
      <x:c r="N645" s="33" t="str">
        <x:v>Oui</x:v>
      </x:c>
      <x:c r="O645" s="33" t="str">
        <x:v>data.gouv.fr_aife</x:v>
      </x:c>
      <x:c r="P645" s="33" t="str">
        <x:v>2018100013203000</x:v>
      </x:c>
    </x:row>
    <x:row r="646">
      <x:c r="A646" s="33" t="str">
        <x:v>2018100013217200</x:v>
      </x:c>
      <x:c r="B646" s="33" t="str">
        <x:v>MINARM / SGA / SID / ESID Bordeaux - Etablissement du service d'infrastructure de la défense de Bordeaux - ESID Bordeaux</x:v>
      </x:c>
      <x:c r="C646" s="33" t="str">
        <x:v>EIFFAGE CONSTRUCTION MIDI PYRENEES</x:v>
      </x:c>
      <x:c r="D646" s="33" t="str">
        <x:v>Pamiers réfection complète des courettes du détachement CYNO</x:v>
      </x:c>
      <x:c r="E646" s="33" t="str">
        <x:v>Travaux de remise en état.</x:v>
      </x:c>
      <x:c r="F646" s="36" t="n">
        <x:v>224951</x:v>
      </x:c>
      <x:c r="G646" s="38" t="n">
        <x:v>43426</x:v>
      </x:c>
      <x:c r="H646" s="38" t="n">
        <x:v>43426</x:v>
      </x:c>
      <x:c r="I646" s="40" t="n">
        <x:v>3</x:v>
      </x:c>
      <x:c r="J646" s="33" t="str">
        <x:v>Marché</x:v>
      </x:c>
      <x:c r="K646" s="33" t="str">
        <x:v>Procédure adaptée</x:v>
      </x:c>
      <x:c r="L646" s="33" t="str">
        <x:v>Ferme et actualisable</x:v>
      </x:c>
      <x:c r="M646" s="33" t="str">
        <x:v>(09) Ariège</x:v>
      </x:c>
      <x:c r="N646" s="33" t="str">
        <x:v>Oui</x:v>
      </x:c>
      <x:c r="O646" s="33" t="str">
        <x:v>data.gouv.fr_aife</x:v>
      </x:c>
      <x:c r="P646" s="33" t="str">
        <x:v>2018100013217200</x:v>
      </x:c>
    </x:row>
    <x:row r="647">
      <x:c r="A647" s="33" t="str">
        <x:v>2018150913616500</x:v>
      </x:c>
      <x:c r="B647" s="33" t="str">
        <x:v>MINARM / SGA / SID / DID SDS - Direction d'infrastructure de la défense de Saint-Denis - DID Saint Denis</x:v>
      </x:c>
      <x:c r="C647" s="33" t="str">
        <x:v>RENOVATION CAROTTAGE REUNION</x:v>
      </x:c>
      <x:c r="D647" s="33" t="str">
        <x:v>AVIS DAPPEL PUBLIC A LA CONCURRENCE - TRAVAUX - I . IDENTIFICATION DE LORGANISME QUI PASSE LE MARCHE - Direction dInfrastructure de la Défense de Saint-Denis - Division Achats Infrastructure et Aide à lActivité - Caserne Lambert - Avenue du chef de BT...</x:v>
      </x:c>
      <x:c r="E647" s="33" t="str">
        <x:v>Travaux de maçonnerie.</x:v>
      </x:c>
      <x:c r="F647" s="36" t="n">
        <x:v>413010</x:v>
      </x:c>
      <x:c r="G647" s="38" t="n">
        <x:v>43426</x:v>
      </x:c>
      <x:c r="H647" s="38" t="n">
        <x:v>43426</x:v>
      </x:c>
      <x:c r="I647" s="40" t="n">
        <x:v>8</x:v>
      </x:c>
      <x:c r="J647" s="33" t="str">
        <x:v>Marché</x:v>
      </x:c>
      <x:c r="K647" s="33" t="str">
        <x:v>Procédure adaptée</x:v>
      </x:c>
      <x:c r="L647" s="33" t="str">
        <x:v>Révisable</x:v>
      </x:c>
      <x:c r="M647" s="33" t="str">
        <x:v>(19) Corrèze</x:v>
      </x:c>
      <x:c r="N647" s="33" t="str">
        <x:v>Oui</x:v>
      </x:c>
      <x:c r="O647" s="33" t="str">
        <x:v>data.gouv.fr_aife</x:v>
      </x:c>
      <x:c r="P647" s="33" t="str">
        <x:v>2018150913616500</x:v>
      </x:c>
    </x:row>
    <x:row r="648">
      <x:c r="A648" s="33" t="str">
        <x:v>2018150911991600</x:v>
      </x:c>
      <x:c r="B648" s="33" t="str">
        <x:v>MINARM / SGA / SID / ESID Toulon - Etablissement du service d'infrastructure de la défense de Toulon - ESID Toulon</x:v>
      </x:c>
      <x:c r="C648" s="33" t="str">
        <x:v>CEGELEC DEFENSE ET NAVAL SUD-EST</x:v>
      </x:c>
      <x:c r="D648" s="33" t="str">
        <x:v>Hyères – 54ème RA – Quartier Vassoigne – Bâtiment 054 - Réfection des réseaux EF, ECS et EU.</x:v>
      </x:c>
      <x:c r="E648" s="33" t="str">
        <x:v>Travaux de plomberie et de pose de conduits d'évacuation.</x:v>
      </x:c>
      <x:c r="F648" s="36" t="n">
        <x:v>81236</x:v>
      </x:c>
      <x:c r="G648" s="38" t="n">
        <x:v>43426</x:v>
      </x:c>
      <x:c r="H648" s="38" t="n">
        <x:v>43426</x:v>
      </x:c>
      <x:c r="I648" s="40" t="n">
        <x:v>5</x:v>
      </x:c>
      <x:c r="J648" s="33" t="str">
        <x:v>Marché</x:v>
      </x:c>
      <x:c r="K648" s="33" t="str">
        <x:v>Appel d'offres ouvert</x:v>
      </x:c>
      <x:c r="L648" s="33" t="str">
        <x:v>Ferme</x:v>
      </x:c>
      <x:c r="M648" s="33" t="str">
        <x:v>(83) Var</x:v>
      </x:c>
      <x:c r="N648" s="33" t="str">
        <x:v>Oui</x:v>
      </x:c>
      <x:c r="O648" s="33" t="str">
        <x:v>data.gouv.fr_aife</x:v>
      </x:c>
      <x:c r="P648" s="33" t="str">
        <x:v>2018150911991600</x:v>
      </x:c>
    </x:row>
    <x:row r="649">
      <x:c r="A649" s="33" t="str">
        <x:v>2018150911055800</x:v>
      </x:c>
      <x:c r="B649" s="33" t="str">
        <x:v>MINARM / DGA / DO / S2A / PROD / DA-BA - Division achats - Toulouse/Balma</x:v>
      </x:c>
      <x:c r="C649" s="33" t="str">
        <x:v>SPHEREL SYSTEMES</x:v>
      </x:c>
      <x:c r="D649" s="33" t="str">
        <x:v>Acquisition de systèmes de détection et de suivi de fissure par la méthode ACPD (Alternative Current Potential Drop) et leurs accessoires</x:v>
      </x:c>
      <x:c r="E649" s="33" t="str">
        <x:v>Appareils de contrôle et d'essai.</x:v>
      </x:c>
      <x:c r="F649" s="36" t="n">
        <x:v>226607</x:v>
      </x:c>
      <x:c r="G649" s="38" t="n">
        <x:v>43426</x:v>
      </x:c>
      <x:c r="H649" s="38" t="n">
        <x:v>43426</x:v>
      </x:c>
      <x:c r="I649" s="40" t="n">
        <x:v>48</x:v>
      </x:c>
      <x:c r="J649" s="33" t="str">
        <x:v>Marché</x:v>
      </x:c>
      <x:c r="K649" s="33" t="str">
        <x:v>Procédure adaptée</x:v>
      </x:c>
      <x:c r="L649" s="33" t="str">
        <x:v>Ferme</x:v>
      </x:c>
      <x:c r="M649" s="33" t="str">
        <x:v>(31) Haute-Garonne</x:v>
      </x:c>
      <x:c r="N649" s="33" t="str">
        <x:v>Oui</x:v>
      </x:c>
      <x:c r="O649" s="33" t="str">
        <x:v>data.gouv.fr_aife</x:v>
      </x:c>
      <x:c r="P649" s="33" t="str">
        <x:v>2018150911055800</x:v>
      </x:c>
    </x:row>
    <x:row r="650">
      <x:c r="A650" s="33" t="str">
        <x:v>2018150912804600</x:v>
      </x:c>
      <x:c r="B650" s="33" t="str">
        <x:v>MINARM / SCA / PFC Sud-Est - Plate-forme commissariat Sud-Est (Lyon)</x:v>
      </x:c>
      <x:c r="C650" s="33" t="str">
        <x:v>FEDERATION REGIONALE D'AGRICULTURE BIOLOGIQUE D'AUVERGNE - RHONE ALPES</x:v>
      </x:c>
      <x:c r="D650" s="33" t="str">
        <x:v>La prestation d’accompagnement du Centre d’Expertise de la Restauration Interarmées (CERIA) pour définir une stratégie d’achat de denrées labellisées biologiques en circuits courts.</x:v>
      </x:c>
      <x:c r="E650" s="33" t="str">
        <x:v>Services divers aux entreprises et services connexes.</x:v>
      </x:c>
      <x:c r="F650" s="36" t="n">
        <x:v>24900</x:v>
      </x:c>
      <x:c r="G650" s="38" t="n">
        <x:v>43426</x:v>
      </x:c>
      <x:c r="H650" s="38" t="n">
        <x:v>43426</x:v>
      </x:c>
      <x:c r="I650" s="40" t="n">
        <x:v>12</x:v>
      </x:c>
      <x:c r="J650" s="33" t="str">
        <x:v>Marché</x:v>
      </x:c>
      <x:c r="K650" s="33" t="str"/>
      <x:c r="L650" s="33" t="str">
        <x:v>Ferme</x:v>
      </x:c>
      <x:c r="M650" s="33" t="str">
        <x:v>(35) Ille-et-Vilaine</x:v>
      </x:c>
      <x:c r="N650" s="33" t="str">
        <x:v>Oui</x:v>
      </x:c>
      <x:c r="O650" s="33" t="str">
        <x:v>data.gouv.fr_aife</x:v>
      </x:c>
      <x:c r="P650" s="33" t="str">
        <x:v>2018150912804600</x:v>
      </x:c>
    </x:row>
    <x:row r="651">
      <x:c r="A651" s="33" t="str">
        <x:v>2018170009025300</x:v>
      </x:c>
      <x:c r="B651" s="33" t="str">
        <x:v>MINARM / SCA / PFC Sud-Est - Plate-forme commissariat Sud-Est (Lyon)</x:v>
      </x:c>
      <x:c r="C651" s="33" t="str">
        <x:v>CHAZAL</x:v>
      </x:c>
      <x:c r="D651" s="33" t="str">
        <x:v>Prestations d’aménagement paysager au profit du site du Quartier Général Frère – Groupement de Soutien de la Base de Défense de Lyon Mont Verdun (GSBdD LNM).</x:v>
      </x:c>
      <x:c r="E651" s="33" t="str">
        <x:v>Travaux d'aménagement paysager d'espaces verts.</x:v>
      </x:c>
      <x:c r="F651" s="36" t="n">
        <x:v>73913</x:v>
      </x:c>
      <x:c r="G651" s="38" t="n">
        <x:v>43426</x:v>
      </x:c>
      <x:c r="H651" s="38" t="n">
        <x:v>43426</x:v>
      </x:c>
      <x:c r="I651" s="40" t="n">
        <x:v>8</x:v>
      </x:c>
      <x:c r="J651" s="33" t="str">
        <x:v>Accord-cadre</x:v>
      </x:c>
      <x:c r="K651" s="33" t="str">
        <x:v>Procédure adaptée</x:v>
      </x:c>
      <x:c r="L651" s="33" t="str">
        <x:v>Ferme</x:v>
      </x:c>
      <x:c r="M651" s="33" t="str">
        <x:v>(69) Rhône</x:v>
      </x:c>
      <x:c r="N651" s="33" t="str">
        <x:v>Oui</x:v>
      </x:c>
      <x:c r="O651" s="33" t="str">
        <x:v>data.gouv.fr_aife</x:v>
      </x:c>
      <x:c r="P651" s="33" t="str">
        <x:v>2018170009025300</x:v>
      </x:c>
    </x:row>
    <x:row r="652">
      <x:c r="A652" s="33" t="str">
        <x:v>2018150912000300</x:v>
      </x:c>
      <x:c r="B652" s="33" t="str">
        <x:v>MINARM / SSF / DSSF Brest - Direction du service de soutien de la flotte de Brest - DSSF Brest</x:v>
      </x:c>
      <x:c r="C652" s="33" t="str">
        <x:v>LOGNAV-CM</x:v>
      </x:c>
      <x:c r="D652" s="33" t="str">
        <x:v>Approvisionnement de platines d’encastrement grenouillères de marques diverses ou équivalents au profit des bâtiments de la Marine Nationale</x:v>
      </x:c>
      <x:c r="E652" s="33" t="str">
        <x:v>Pièces pour navires de guerre.</x:v>
      </x:c>
      <x:c r="F652" s="36" t="n">
        <x:v>1353</x:v>
      </x:c>
      <x:c r="G652" s="38" t="n">
        <x:v>43426</x:v>
      </x:c>
      <x:c r="H652" s="38" t="n">
        <x:v>43426</x:v>
      </x:c>
      <x:c r="I652" s="40" t="n">
        <x:v>4</x:v>
      </x:c>
      <x:c r="J652" s="33" t="str">
        <x:v>Marché</x:v>
      </x:c>
      <x:c r="K652" s="33" t="str">
        <x:v>Procédure adaptée</x:v>
      </x:c>
      <x:c r="L652" s="33" t="str">
        <x:v>Ferme</x:v>
      </x:c>
      <x:c r="M652" s="33" t="str">
        <x:v>(29) Finistère</x:v>
      </x:c>
      <x:c r="N652" s="33" t="str">
        <x:v>Oui</x:v>
      </x:c>
      <x:c r="O652" s="33" t="str">
        <x:v>data.gouv.fr_aife</x:v>
      </x:c>
      <x:c r="P652" s="33" t="str">
        <x:v>2018150912000300</x:v>
      </x:c>
    </x:row>
    <x:row r="653">
      <x:c r="A653" s="33" t="str">
        <x:v>2018100013224000</x:v>
      </x:c>
      <x:c r="B653" s="33" t="str">
        <x:v>MINARM / SGA / SID / ESID Bordeaux - Etablissement du service d'infrastructure de la défense de Bordeaux - ESID Bordeaux</x:v>
      </x:c>
      <x:c r="C653" s="33" t="str">
        <x:v>ENTREPRISE BOURDARIOS</x:v>
      </x:c>
      <x:c r="D653" s="33" t="str">
        <x:v>31 - BALMA - DGA -TA - Mise en place de vestiaires/sanitaires en extension de la salle de sport du bâtiment 048</x:v>
      </x:c>
      <x:c r="E653" s="33" t="str">
        <x:v>Travaux de construction de bâtiments et d'installations militaires.</x:v>
      </x:c>
      <x:c r="F653" s="36" t="n">
        <x:v>163558</x:v>
      </x:c>
      <x:c r="G653" s="38" t="n">
        <x:v>43426</x:v>
      </x:c>
      <x:c r="H653" s="38" t="n">
        <x:v>43426</x:v>
      </x:c>
      <x:c r="I653" s="40" t="n">
        <x:v>10</x:v>
      </x:c>
      <x:c r="J653" s="33" t="str">
        <x:v>Marché</x:v>
      </x:c>
      <x:c r="K653" s="33" t="str">
        <x:v>Procédure adaptée</x:v>
      </x:c>
      <x:c r="L653" s="33" t="str">
        <x:v>Révisable</x:v>
      </x:c>
      <x:c r="M653" s="33" t="str">
        <x:v>(31) Haute-Garonne</x:v>
      </x:c>
      <x:c r="N653" s="33" t="str">
        <x:v>Oui</x:v>
      </x:c>
      <x:c r="O653" s="33" t="str">
        <x:v>data.gouv.fr_aife</x:v>
      </x:c>
      <x:c r="P653" s="33" t="str">
        <x:v>2018100013224000</x:v>
      </x:c>
    </x:row>
    <x:row r="654">
      <x:c r="A654" s="33" t="str">
        <x:v>2018100013181400</x:v>
      </x:c>
      <x:c r="B654" s="33" t="str">
        <x:v>MINARM / SSF / DSSF Brest - Direction du service de soutien de la flotte de Brest - DSSF Brest</x:v>
      </x:c>
      <x:c r="C654" s="33" t="str">
        <x:v>LOGNAV-CM</x:v>
      </x:c>
      <x:c r="D654" s="33" t="str">
        <x:v>fourniture de matériels de radionavigation et matériels connexes de divers types et de diverses marques ou équivalents pour les unités de la marine nationale.</x:v>
      </x:c>
      <x:c r="E654" s="33" t="str">
        <x:v>Instruments de navigation.</x:v>
      </x:c>
      <x:c r="F654" s="36" t="n">
        <x:v>86901</x:v>
      </x:c>
      <x:c r="G654" s="38" t="n">
        <x:v>43426</x:v>
      </x:c>
      <x:c r="H654" s="38" t="n">
        <x:v>43426</x:v>
      </x:c>
      <x:c r="I654" s="40" t="n">
        <x:v>7</x:v>
      </x:c>
      <x:c r="J654" s="33" t="str">
        <x:v>Marché</x:v>
      </x:c>
      <x:c r="K654" s="33" t="str">
        <x:v>Appel d'offres restreint</x:v>
      </x:c>
      <x:c r="L654" s="33" t="str">
        <x:v>Ferme et actualisable</x:v>
      </x:c>
      <x:c r="M654" s="33" t="str">
        <x:v>(29) Finistère</x:v>
      </x:c>
      <x:c r="N654" s="33" t="str">
        <x:v>Oui</x:v>
      </x:c>
      <x:c r="O654" s="33" t="str">
        <x:v>data.gouv.fr_aife</x:v>
      </x:c>
      <x:c r="P654" s="33" t="str">
        <x:v>2018100013181400</x:v>
      </x:c>
    </x:row>
    <x:row r="655">
      <x:c r="A655" s="33" t="str">
        <x:v>2018100013200400</x:v>
      </x:c>
      <x:c r="B655" s="33" t="str">
        <x:v>MINARM / SSF / DSSF Toulon - Direction du service de soutien de la flotte de Toulon - DSSF Toulon</x:v>
      </x:c>
      <x:c r="C655" s="33" t="str">
        <x:v>AART ELECTRONICS</x:v>
      </x:c>
      <x:c r="D655" s="33" t="str">
        <x:v>Accord cadre N° 2016M16T20015 relatif à l’approvisionnement de fourniture de matériels de mesure et de contrôle nécessaires au maintien en condition opérationnelle (MCO) des Eléments de Force Maritime (EFM) et des Eléments de Force Armées (EFA)</x:v>
      </x:c>
      <x:c r="E655" s="33" t="str">
        <x:v>Pièces pour navires de guerre.</x:v>
      </x:c>
      <x:c r="F655" s="36" t="n">
        <x:v>43231</x:v>
      </x:c>
      <x:c r="G655" s="38" t="n">
        <x:v>43426</x:v>
      </x:c>
      <x:c r="H655" s="38" t="n">
        <x:v>43426</x:v>
      </x:c>
      <x:c r="I655" s="40" t="n">
        <x:v>3</x:v>
      </x:c>
      <x:c r="J655" s="33" t="str">
        <x:v>Marché subséquent</x:v>
      </x:c>
      <x:c r="K655" s="33" t="str">
        <x:v>Appel d'offres ouvert</x:v>
      </x:c>
      <x:c r="L655" s="33" t="str">
        <x:v>Ferme et actualisable</x:v>
      </x:c>
      <x:c r="M655" s="33" t="str">
        <x:v>(83) Var</x:v>
      </x:c>
      <x:c r="N655" s="33" t="str">
        <x:v>Oui</x:v>
      </x:c>
      <x:c r="O655" s="33" t="str">
        <x:v>data.gouv.fr_aife</x:v>
      </x:c>
      <x:c r="P655" s="33" t="str">
        <x:v>2018100013200400</x:v>
      </x:c>
    </x:row>
    <x:row r="656">
      <x:c r="A656" s="33" t="str">
        <x:v>2018100013197100</x:v>
      </x:c>
      <x:c r="B656" s="33" t="str">
        <x:v>MINARM / SGA / SID / ESID IDF - Etablissement du Service d'infrastructure de la défense d'Ile de France - ESID Ile de France</x:v>
      </x:c>
      <x:c r="C656" s="33" t="str">
        <x:v>SANTERNE NORD TERTIAIRE</x:v>
      </x:c>
      <x:c r="D656" s="33" t="str">
        <x:v>Le présent marché subséquent a pour objet la 2ème phase de sécurisation du Quartier Gallieni situé à MAISONS LAFFITTE (78).</x:v>
      </x:c>
      <x:c r="E656" s="33" t="str">
        <x:v>Travaux d'installation de clôtures, de garde-corps et de dispositifs de sécurité.</x:v>
      </x:c>
      <x:c r="F656" s="36" t="n">
        <x:v>836128</x:v>
      </x:c>
      <x:c r="G656" s="38" t="n">
        <x:v>43427</x:v>
      </x:c>
      <x:c r="H656" s="38" t="n">
        <x:v>43427</x:v>
      </x:c>
      <x:c r="I656" s="40" t="n">
        <x:v>8</x:v>
      </x:c>
      <x:c r="J656" s="33" t="str">
        <x:v>Marché subséquent</x:v>
      </x:c>
      <x:c r="K656" s="33" t="str">
        <x:v>Appel d'offres ouvert</x:v>
      </x:c>
      <x:c r="L656" s="33" t="str">
        <x:v>Révisable</x:v>
      </x:c>
      <x:c r="M656" s="33" t="str">
        <x:v>(78) Yvelines</x:v>
      </x:c>
      <x:c r="N656" s="33" t="str">
        <x:v>Oui</x:v>
      </x:c>
      <x:c r="O656" s="33" t="str">
        <x:v>data.gouv.fr_aife</x:v>
      </x:c>
      <x:c r="P656" s="33" t="str">
        <x:v>2018100013197100</x:v>
      </x:c>
    </x:row>
    <x:row r="657">
      <x:c r="A657" s="33" t="str">
        <x:v>2018100013183400</x:v>
      </x:c>
      <x:c r="B657" s="33" t="str">
        <x:v>MINARM / SGA / SID / ESID Metz - Etablissement du service d'infrastructure de la défense de Metz - ESID Metz</x:v>
      </x:c>
      <x:c r="C657" s="33" t="str">
        <x:v>ANTEA FRANCE</x:v>
      </x:c>
      <x:c r="D657" s="33" t="str">
        <x:v>MAILLY LE CAMP (10) Zone 5 - CENTAC - Réfection du pont voie ferrée - Marché public de maîtrise d'oeuvre : Mission de base + OPC</x:v>
      </x:c>
      <x:c r="E657" s="33" t="str">
        <x:v>Services d'ingénierie ferroviaire.</x:v>
      </x:c>
      <x:c r="F657" s="36" t="n">
        <x:v>34600</x:v>
      </x:c>
      <x:c r="G657" s="38" t="n">
        <x:v>43427</x:v>
      </x:c>
      <x:c r="H657" s="38" t="n">
        <x:v>43427</x:v>
      </x:c>
      <x:c r="I657" s="40" t="n">
        <x:v>36</x:v>
      </x:c>
      <x:c r="J657" s="33" t="str">
        <x:v>Marché</x:v>
      </x:c>
      <x:c r="K657" s="33" t="str">
        <x:v>Appel d'offres ouvert</x:v>
      </x:c>
      <x:c r="L657" s="33" t="str">
        <x:v>Révisable</x:v>
      </x:c>
      <x:c r="M657" s="33" t="str">
        <x:v>(10) Aube</x:v>
      </x:c>
      <x:c r="N657" s="33" t="str">
        <x:v>Oui</x:v>
      </x:c>
      <x:c r="O657" s="33" t="str">
        <x:v>data.gouv.fr_aife</x:v>
      </x:c>
      <x:c r="P657" s="33" t="str">
        <x:v>2018100013183400</x:v>
      </x:c>
    </x:row>
    <x:row r="658">
      <x:c r="A658" s="33" t="str">
        <x:v>2018100013209100</x:v>
      </x:c>
      <x:c r="B658" s="33" t="str">
        <x:v>MINARM / SSF / DSSF Toulon - Direction du service de soutien de la flotte de Toulon - DSSF Toulon</x:v>
      </x:c>
      <x:c r="C658" s="33" t="str">
        <x:v>DISTRAME</x:v>
      </x:c>
      <x:c r="D658" s="33" t="str">
        <x:v>Accord cadre N° 2016M16T20015 relatif à l’approvisionnement de fourniture de matériels de mesure et de contrôle nécessaires au maintien en condition opérationnelle (MCO) des Eléments de Force Maritime (EFM) et des Eléments de Force Armées (EFA)</x:v>
      </x:c>
      <x:c r="E658" s="33" t="str">
        <x:v>Pièces pour navires de guerre.</x:v>
      </x:c>
      <x:c r="F658" s="36" t="n">
        <x:v>141382</x:v>
      </x:c>
      <x:c r="G658" s="38" t="n">
        <x:v>43427</x:v>
      </x:c>
      <x:c r="H658" s="38" t="n">
        <x:v>43427</x:v>
      </x:c>
      <x:c r="I658" s="40" t="n">
        <x:v>3</x:v>
      </x:c>
      <x:c r="J658" s="33" t="str">
        <x:v>Marché subséquent</x:v>
      </x:c>
      <x:c r="K658" s="33" t="str">
        <x:v>Appel d'offres ouvert</x:v>
      </x:c>
      <x:c r="L658" s="33" t="str">
        <x:v>Ferme et actualisable</x:v>
      </x:c>
      <x:c r="M658" s="33" t="str">
        <x:v>(83) Var</x:v>
      </x:c>
      <x:c r="N658" s="33" t="str">
        <x:v>Oui</x:v>
      </x:c>
      <x:c r="O658" s="33" t="str">
        <x:v>data.gouv.fr_aife</x:v>
      </x:c>
      <x:c r="P658" s="33" t="str">
        <x:v>2018100013209100</x:v>
      </x:c>
    </x:row>
    <x:row r="659">
      <x:c r="A659" s="33" t="str">
        <x:v>2018100013193900</x:v>
      </x:c>
      <x:c r="B659" s="33" t="str">
        <x:v>MINARM / SGA / SID / ESID Bordeaux - Etablissement du service d'infrastructure de la défense de Bordeaux - ESID Bordeaux</x:v>
      </x:c>
      <x:c r="C659" s="33" t="str">
        <x:v>EIFFAGE ROUTE SUD OUEST</x:v>
      </x:c>
      <x:c r="D659" s="33" t="str">
        <x:v>Ce marché concerne les travaux de réfection de voiries et de création de parkings et d’un réseau d’assainissement entre les bâtiments 40-43-44 et 47 du quartier TOUSSAINT d’Agen (47).</x:v>
      </x:c>
      <x:c r="E659" s="33" t="str">
        <x:v>Enrobés routiers.</x:v>
      </x:c>
      <x:c r="F659" s="36" t="n">
        <x:v>720600</x:v>
      </x:c>
      <x:c r="G659" s="38" t="n">
        <x:v>43427</x:v>
      </x:c>
      <x:c r="H659" s="38" t="n">
        <x:v>43427</x:v>
      </x:c>
      <x:c r="I659" s="40" t="n">
        <x:v>4</x:v>
      </x:c>
      <x:c r="J659" s="33" t="str">
        <x:v>Marché</x:v>
      </x:c>
      <x:c r="K659" s="33" t="str">
        <x:v>Procédure adaptée</x:v>
      </x:c>
      <x:c r="L659" s="33" t="str">
        <x:v>Révisable</x:v>
      </x:c>
      <x:c r="M659" s="33" t="str">
        <x:v>(47) Lot-et-Garonne</x:v>
      </x:c>
      <x:c r="N659" s="33" t="str">
        <x:v>Oui</x:v>
      </x:c>
      <x:c r="O659" s="33" t="str">
        <x:v>data.gouv.fr_aife</x:v>
      </x:c>
      <x:c r="P659" s="33" t="str">
        <x:v>2018100013193900</x:v>
      </x:c>
    </x:row>
    <x:row r="660">
      <x:c r="A660" s="33" t="str">
        <x:v>20182018S0045400</x:v>
      </x:c>
      <x:c r="B660" s="33" t="str">
        <x:v>MINARM / ESTM / EPA / ISAE - Institut supérieur de l'aéronautique et de l'espace (ISAE)</x:v>
      </x:c>
      <x:c r="C660" s="33" t="str">
        <x:v>VERDIE AUTOCAR</x:v>
      </x:c>
      <x:c r="D660" s="33" t="str">
        <x:v>Le présent marché a pour objet des prestations de transports collectifs par voies routières pour l’ISAE-SUPAERO. - Les personnes à transporter seront des étudiants, des personnels, ainsi que toute autre personne désignée par l’ISAE-SUPAERO. - Ces p</x:v>
      </x:c>
      <x:c r="E660" s="33" t="str">
        <x:v>Services spécialisés de transport routier de passagers.</x:v>
      </x:c>
      <x:c r="F660" s="36" t="n">
        <x:v>220000</x:v>
      </x:c>
      <x:c r="G660" s="38" t="n">
        <x:v>43427</x:v>
      </x:c>
      <x:c r="H660" s="38" t="n">
        <x:v>43427</x:v>
      </x:c>
      <x:c r="I660" s="40" t="n">
        <x:v>48</x:v>
      </x:c>
      <x:c r="J660" s="33" t="str">
        <x:v>Accord-cadre</x:v>
      </x:c>
      <x:c r="K660" s="33" t="str">
        <x:v>Appel d'offres ouvert</x:v>
      </x:c>
      <x:c r="L660" s="33" t="str">
        <x:v>Révisable</x:v>
      </x:c>
      <x:c r="M660" s="33" t="str">
        <x:v>(31) Haute-Garonne</x:v>
      </x:c>
      <x:c r="N660" s="33" t="str">
        <x:v>Oui</x:v>
      </x:c>
      <x:c r="O660" s="33" t="str">
        <x:v>data.gouv.fr_aife</x:v>
      </x:c>
      <x:c r="P660" s="33" t="str">
        <x:v>20182018S0045400</x:v>
      </x:c>
    </x:row>
    <x:row r="661">
      <x:c r="A661" s="33" t="str">
        <x:v>2018100013212300</x:v>
      </x:c>
      <x:c r="B661" s="33" t="str">
        <x:v>MINARM / SSF / DSSF Toulon - Direction du service de soutien de la flotte de Toulon - DSSF Toulon</x:v>
      </x:c>
      <x:c r="C661" s="33" t="str">
        <x:v>LE LITTORAL</x:v>
      </x:c>
      <x:c r="D661" s="33" t="str">
        <x:v>Accord cadre N° 2016 M 16 T 20 010 relatif à l’approvisionnement de matériels électriques et électroniques pour le maintien en condition opérationnelle (MCO) des Eléments de Force Maritime (EFM) et des Eléments de Force Armées (EFA). - Marché su</x:v>
      </x:c>
      <x:c r="E661" s="33" t="str">
        <x:v>Pièces électroniques et électriques de rechange pour navires de guerre.</x:v>
      </x:c>
      <x:c r="F661" s="36" t="n">
        <x:v>22472</x:v>
      </x:c>
      <x:c r="G661" s="38" t="n">
        <x:v>43427</x:v>
      </x:c>
      <x:c r="H661" s="38" t="n">
        <x:v>43427</x:v>
      </x:c>
      <x:c r="I661" s="40" t="n">
        <x:v>12</x:v>
      </x:c>
      <x:c r="J661" s="33" t="str">
        <x:v>Marché subséquent</x:v>
      </x:c>
      <x:c r="K661" s="33" t="str">
        <x:v>Appel d'offres ouvert</x:v>
      </x:c>
      <x:c r="L661" s="33" t="str">
        <x:v>Ferme et actualisable</x:v>
      </x:c>
      <x:c r="M661" s="33" t="str">
        <x:v>(83) Var</x:v>
      </x:c>
      <x:c r="N661" s="33" t="str">
        <x:v>Oui</x:v>
      </x:c>
      <x:c r="O661" s="33" t="str">
        <x:v>data.gouv.fr_aife</x:v>
      </x:c>
      <x:c r="P661" s="33" t="str">
        <x:v>2018100013212300</x:v>
      </x:c>
    </x:row>
    <x:row r="662">
      <x:c r="A662" s="33" t="str">
        <x:v>2018100013216100</x:v>
      </x:c>
      <x:c r="B662" s="33" t="str">
        <x:v>MINARM / SSF / DSSF Toulon - Direction du service de soutien de la flotte de Toulon - DSSF Toulon</x:v>
      </x:c>
      <x:c r="C662" s="33" t="str">
        <x:v>LOGNAV-CM</x:v>
      </x:c>
      <x:c r="D662" s="33" t="str">
        <x:v>AC M15T20 025 relatif à la fourniture de matériels de robinetterie tels que vannes, soupapes, clapets, robinets, détendeurs, valves, raccords, coudes, tubes, tuyaux, colliers, brides, manchons, flexibles et accessoires associés pour les besoins néces</x:v>
      </x:c>
      <x:c r="E662" s="33" t="str">
        <x:v>Pièces pour navires de guerre.</x:v>
      </x:c>
      <x:c r="F662" s="36" t="n">
        <x:v>24419</x:v>
      </x:c>
      <x:c r="G662" s="38" t="n">
        <x:v>43427</x:v>
      </x:c>
      <x:c r="H662" s="38" t="n">
        <x:v>43427</x:v>
      </x:c>
      <x:c r="I662" s="40" t="n">
        <x:v>6</x:v>
      </x:c>
      <x:c r="J662" s="33" t="str">
        <x:v>Marché subséquent</x:v>
      </x:c>
      <x:c r="K662" s="33" t="str">
        <x:v>Appel d'offres ouvert</x:v>
      </x:c>
      <x:c r="L662" s="33" t="str">
        <x:v>Ferme et actualisable</x:v>
      </x:c>
      <x:c r="M662" s="33" t="str">
        <x:v>(83) Var</x:v>
      </x:c>
      <x:c r="N662" s="33" t="str">
        <x:v>Oui</x:v>
      </x:c>
      <x:c r="O662" s="33" t="str">
        <x:v>data.gouv.fr_aife</x:v>
      </x:c>
      <x:c r="P662" s="33" t="str">
        <x:v>2018100013216100</x:v>
      </x:c>
    </x:row>
    <x:row r="663">
      <x:c r="A663" s="33" t="str">
        <x:v>2018130013922000</x:v>
      </x:c>
      <x:c r="B663" s="33" t="str">
        <x:v>MINARM / SGA / SID / DID Papeete - Direction d'infrastructure de la défense de Papeete - DID Papeete</x:v>
      </x:c>
      <x:c r="C663" s="33" t="str">
        <x:v>TAHITI NUI CONTROLE</x:v>
      </x:c>
      <x:c r="D663" s="33" t="str">
        <x:v>Polynésie française - Ile de Tahiti et atoll de Moruroa - Immeubles des Forces de Souveraineté - Accord-cadre à bons de commande pour des prestations de contrôles et de vérifications périodiques obligatoires (CVPO) à réaliser sur des installation</x:v>
      </x:c>
      <x:c r="E663" s="33" t="str">
        <x:v>Services de contrôle et d'essais techniques.</x:v>
      </x:c>
      <x:c r="F663" s="36" t="n">
        <x:v>1000000</x:v>
      </x:c>
      <x:c r="G663" s="38" t="n">
        <x:v>43427</x:v>
      </x:c>
      <x:c r="H663" s="38" t="n">
        <x:v>43427</x:v>
      </x:c>
      <x:c r="I663" s="40" t="n">
        <x:v>48</x:v>
      </x:c>
      <x:c r="J663" s="33" t="str"/>
      <x:c r="K663" s="33" t="str"/>
      <x:c r="L663" s="33" t="str">
        <x:v>Révisable</x:v>
      </x:c>
      <x:c r="M663" s="33" t="str">
        <x:v>(987) Polynésie Française</x:v>
      </x:c>
      <x:c r="N663" s="33" t="str">
        <x:v>Oui</x:v>
      </x:c>
      <x:c r="O663" s="33" t="str">
        <x:v>data.gouv.fr_aife</x:v>
      </x:c>
      <x:c r="P663" s="33" t="str">
        <x:v>2018130013922000</x:v>
      </x:c>
    </x:row>
    <x:row r="664">
      <x:c r="A664" s="33" t="str">
        <x:v>2018150912801400</x:v>
      </x:c>
      <x:c r="B664" s="33" t="str">
        <x:v>MINARM / SSF / DSSF Brest - Direction du service de soutien de la flotte de Brest - DSSF Brest</x:v>
      </x:c>
      <x:c r="C664" s="33" t="str">
        <x:v>LOGNAV-CM</x:v>
      </x:c>
      <x:c r="D664" s="33" t="str">
        <x:v>Approvisionnement de matériels de transmissions mécaniques de marques diverses ou équivalent au profit des bâtiments de la Marine Nationale</x:v>
      </x:c>
      <x:c r="E664" s="33" t="str">
        <x:v>Pièces de rechange pour coque et pièces mécaniques pour navires de guerre.</x:v>
      </x:c>
      <x:c r="F664" s="36" t="n">
        <x:v>1660</x:v>
      </x:c>
      <x:c r="G664" s="38" t="n">
        <x:v>43427</x:v>
      </x:c>
      <x:c r="H664" s="38" t="n">
        <x:v>43427</x:v>
      </x:c>
      <x:c r="I664" s="40" t="n">
        <x:v>1</x:v>
      </x:c>
      <x:c r="J664" s="33" t="str">
        <x:v>Marché</x:v>
      </x:c>
      <x:c r="K664" s="33" t="str">
        <x:v>Procédure adaptée</x:v>
      </x:c>
      <x:c r="L664" s="33" t="str">
        <x:v>Ferme</x:v>
      </x:c>
      <x:c r="M664" s="33" t="str">
        <x:v>(29) Finistère</x:v>
      </x:c>
      <x:c r="N664" s="33" t="str">
        <x:v>Oui</x:v>
      </x:c>
      <x:c r="O664" s="33" t="str">
        <x:v>data.gouv.fr_aife</x:v>
      </x:c>
      <x:c r="P664" s="33" t="str">
        <x:v>2018150912801400</x:v>
      </x:c>
    </x:row>
    <x:row r="665">
      <x:c r="A665" s="33" t="str">
        <x:v>2018100013211500</x:v>
      </x:c>
      <x:c r="B665" s="33" t="str">
        <x:v>MINARM / SSF / DSSF Toulon - Direction du service de soutien de la flotte de Toulon - DSSF Toulon</x:v>
      </x:c>
      <x:c r="C665" s="33" t="str">
        <x:v>MAINTLOG</x:v>
      </x:c>
      <x:c r="D665" s="33" t="str">
        <x:v>Accord cadre N° 2015M15T20052 relatif à l’approvisionnement de matériels de filtration pour le maintien en condition opérationnelle (MCO) des Eléments de Force Maritime (EFM) et des Eléments de Force Armées (EFA). - Marché subséquent : N° K18T20</x:v>
      </x:c>
      <x:c r="E665" s="33" t="str">
        <x:v>Filtres à huile, filtres à essence et filtres à air.</x:v>
      </x:c>
      <x:c r="F665" s="36" t="n">
        <x:v>33200</x:v>
      </x:c>
      <x:c r="G665" s="38" t="n">
        <x:v>43427</x:v>
      </x:c>
      <x:c r="H665" s="38" t="n">
        <x:v>43427</x:v>
      </x:c>
      <x:c r="I665" s="40" t="n">
        <x:v>4</x:v>
      </x:c>
      <x:c r="J665" s="33" t="str">
        <x:v>Marché subséquent</x:v>
      </x:c>
      <x:c r="K665" s="33" t="str">
        <x:v>Appel d'offres ouvert</x:v>
      </x:c>
      <x:c r="L665" s="33" t="str">
        <x:v>Ferme et actualisable</x:v>
      </x:c>
      <x:c r="M665" s="33" t="str">
        <x:v>(83) Var</x:v>
      </x:c>
      <x:c r="N665" s="33" t="str">
        <x:v>Oui</x:v>
      </x:c>
      <x:c r="O665" s="33" t="str">
        <x:v>data.gouv.fr_aife</x:v>
      </x:c>
      <x:c r="P665" s="33" t="str">
        <x:v>2018100013211500</x:v>
      </x:c>
    </x:row>
    <x:row r="666">
      <x:c r="A666" s="33" t="str">
        <x:v>2018100013216000</x:v>
      </x:c>
      <x:c r="B666" s="33" t="str">
        <x:v>MINARM / SSF / DSSF Toulon - Direction du service de soutien de la flotte de Toulon - DSSF Toulon</x:v>
      </x:c>
      <x:c r="C666" s="33" t="str">
        <x:v>LOGNAV-CM</x:v>
      </x:c>
      <x:c r="D666" s="33" t="str">
        <x:v>Accord cadre M16T20 010 relatif à l’approvisionnement de matériels électriques et électroniques pour le maintien en condition opérationnelle (MCO) des Eléments de Force Maritime (EFM) et des Eléments de Force Armées (EFA). -</x:v>
      </x:c>
      <x:c r="E666" s="33" t="str">
        <x:v>Pièces électroniques et électriques de rechange pour navires de guerre.</x:v>
      </x:c>
      <x:c r="F666" s="36" t="n">
        <x:v>2688</x:v>
      </x:c>
      <x:c r="G666" s="38" t="n">
        <x:v>43427</x:v>
      </x:c>
      <x:c r="H666" s="38" t="n">
        <x:v>43427</x:v>
      </x:c>
      <x:c r="I666" s="40" t="n">
        <x:v>12</x:v>
      </x:c>
      <x:c r="J666" s="33" t="str">
        <x:v>Marché subséquent</x:v>
      </x:c>
      <x:c r="K666" s="33" t="str">
        <x:v>Appel d'offres ouvert</x:v>
      </x:c>
      <x:c r="L666" s="33" t="str">
        <x:v>Ferme et actualisable</x:v>
      </x:c>
      <x:c r="M666" s="33" t="str">
        <x:v>(83) Var</x:v>
      </x:c>
      <x:c r="N666" s="33" t="str">
        <x:v>Oui</x:v>
      </x:c>
      <x:c r="O666" s="33" t="str">
        <x:v>data.gouv.fr_aife</x:v>
      </x:c>
      <x:c r="P666" s="33" t="str">
        <x:v>2018100013216000</x:v>
      </x:c>
    </x:row>
    <x:row r="667">
      <x:c r="A667" s="33" t="str">
        <x:v>2018150905780600</x:v>
      </x:c>
      <x:c r="B667" s="33" t="str">
        <x:v>MINARM / SGA / SID / DID FdF - Direction d'infrastructure de la défense de Fort de France - DID Fort de France</x:v>
      </x:c>
      <x:c r="C667" s="33" t="str">
        <x:v>ANTILLES INGENIERIE INFRASTRUCTURES</x:v>
      </x:c>
      <x:c r="D667" s="33" t="str">
        <x:v>Projet n°18/018 - Martinique (972) - Fort-de-France - Fort Saint-Louis - Base navale - Contrôle technique - Mission dassistance auprès du maître douvrage - Construction et mise à leau dun ras débordoir de 20 X 5 m et de 3 corps morts.</x:v>
      </x:c>
      <x:c r="E667" s="33" t="str">
        <x:v>Services d'ingénierie.</x:v>
      </x:c>
      <x:c r="F667" s="36" t="n">
        <x:v>20805</x:v>
      </x:c>
      <x:c r="G667" s="38" t="n">
        <x:v>43427</x:v>
      </x:c>
      <x:c r="H667" s="38" t="n">
        <x:v>43427</x:v>
      </x:c>
      <x:c r="I667" s="40" t="n">
        <x:v>6</x:v>
      </x:c>
      <x:c r="J667" s="33" t="str">
        <x:v>Marché</x:v>
      </x:c>
      <x:c r="K667" s="33" t="str">
        <x:v>Procédure adaptée</x:v>
      </x:c>
      <x:c r="L667" s="33" t="str">
        <x:v>Ferme et actualisable</x:v>
      </x:c>
      <x:c r="M667" s="33" t="str">
        <x:v>(972) Martinique</x:v>
      </x:c>
      <x:c r="N667" s="33" t="str">
        <x:v>Oui</x:v>
      </x:c>
      <x:c r="O667" s="33" t="str">
        <x:v>data.gouv.fr_aife</x:v>
      </x:c>
      <x:c r="P667" s="33" t="str">
        <x:v>2018150905780600</x:v>
      </x:c>
    </x:row>
    <x:row r="668">
      <x:c r="A668" s="33" t="str">
        <x:v>2018150908941200</x:v>
      </x:c>
      <x:c r="B668" s="33" t="str">
        <x:v>MINARM / SGA / SID / ESID BREST - Etablissement du service d'infrastructure de la défense de BREST - ESID Brest</x:v>
      </x:c>
      <x:c r="C668" s="33" t="str">
        <x:v>ALGECO</x:v>
      </x:c>
      <x:c r="D668" s="33" t="str">
        <x:v>La mise à disposition par location de deux modulaires de bureau et d'un container pour le stockage de divers matériels</x:v>
      </x:c>
      <x:c r="E668" s="33" t="str">
        <x:v>Installation de locaux pour le personnel</x:v>
      </x:c>
      <x:c r="F668" s="36" t="n">
        <x:v>18955</x:v>
      </x:c>
      <x:c r="G668" s="38" t="n">
        <x:v>43427</x:v>
      </x:c>
      <x:c r="H668" s="38" t="n">
        <x:v>43427</x:v>
      </x:c>
      <x:c r="I668" s="40" t="n">
        <x:v>15</x:v>
      </x:c>
      <x:c r="J668" s="33" t="str">
        <x:v>Marché</x:v>
      </x:c>
      <x:c r="K668" s="33" t="str">
        <x:v>Procédure adaptée</x:v>
      </x:c>
      <x:c r="L668" s="33" t="str">
        <x:v>Ferme et actualisable</x:v>
      </x:c>
      <x:c r="M668" s="33" t="str">
        <x:v>(29) Finistère</x:v>
      </x:c>
      <x:c r="N668" s="33" t="str">
        <x:v>Oui</x:v>
      </x:c>
      <x:c r="O668" s="33" t="str">
        <x:v>data.gouv.fr_aife</x:v>
      </x:c>
      <x:c r="P668" s="33" t="str">
        <x:v>2018150908941200</x:v>
      </x:c>
    </x:row>
    <x:row r="669">
      <x:c r="A669" s="33" t="str">
        <x:v>2018130013943900</x:v>
      </x:c>
      <x:c r="B669" s="33" t="str">
        <x:v>MINARM / SSF / DSSF Toulon - Direction du service de soutien de la flotte de Toulon - DSSF Toulon</x:v>
      </x:c>
      <x:c r="C669" s="33" t="str">
        <x:v>AUSCHITZKY</x:v>
      </x:c>
      <x:c r="D669" s="33" t="str">
        <x:v>M17T20 033 - Fourniture de petits matériels électriques au profit des éléments de la force maritime (EFM) et des éléments des forces armées (EFA). Cette procédure s'inscrit dans le cadre des matériels de Défense et sécurité. - PHASE OFFRES</x:v>
      </x:c>
      <x:c r="E669" s="33" t="str">
        <x:v>Pièces pour navires de guerre.</x:v>
      </x:c>
      <x:c r="F669" s="36" t="n">
        <x:v>2500000</x:v>
      </x:c>
      <x:c r="G669" s="38" t="n">
        <x:v>43427</x:v>
      </x:c>
      <x:c r="H669" s="38" t="n">
        <x:v>43427</x:v>
      </x:c>
      <x:c r="I669" s="40" t="n">
        <x:v>50</x:v>
      </x:c>
      <x:c r="J669" s="33" t="str">
        <x:v>Accord-cadre</x:v>
      </x:c>
      <x:c r="K669" s="33" t="str">
        <x:v>Appel d'offres ouvert</x:v>
      </x:c>
      <x:c r="L669" s="33" t="str">
        <x:v>Ferme et actualisable</x:v>
      </x:c>
      <x:c r="M669" s="33" t="str">
        <x:v>(83) Var</x:v>
      </x:c>
      <x:c r="N669" s="33" t="str">
        <x:v>Oui</x:v>
      </x:c>
      <x:c r="O669" s="33" t="str">
        <x:v>data.gouv.fr_aife</x:v>
      </x:c>
      <x:c r="P669" s="33" t="str">
        <x:v>2018130013943900</x:v>
      </x:c>
    </x:row>
    <x:row r="670">
      <x:c r="A670" s="33" t="str">
        <x:v>2018170009009900</x:v>
      </x:c>
      <x:c r="B670" s="33" t="str">
        <x:v>MINARM / DIRISI - Direction Interarmées des Réseaux d'Infrastructure et des Systèmes d'Information de la défense</x:v>
      </x:c>
      <x:c r="C670" s="33" t="str">
        <x:v>LTE SAT</x:v>
      </x:c>
      <x:c r="D670" s="33" t="str">
        <x:v>MAINTENANCE DES EQUIPEMENTS PERMETTANT LA RECEPTION ET LA TELEDISTRIBUTION DE SIGNAUX TV DANS LES LOCAUX DU MINISTERE DES ARMÉES SOUTENUES PAR LE SERVICE PARISIEN DE SOUTIEN DE L'ADMINISTRATION CENTRALE (SPAC).</x:v>
      </x:c>
      <x:c r="E670" s="33" t="str">
        <x:v>Services de réparation et d'entretien de matériel de télévision.</x:v>
      </x:c>
      <x:c r="F670" s="36" t="n">
        <x:v>88000</x:v>
      </x:c>
      <x:c r="G670" s="38" t="n">
        <x:v>43428</x:v>
      </x:c>
      <x:c r="H670" s="38" t="n">
        <x:v>43428</x:v>
      </x:c>
      <x:c r="I670" s="40" t="n">
        <x:v>48</x:v>
      </x:c>
      <x:c r="J670" s="33" t="str"/>
      <x:c r="K670" s="33" t="str"/>
      <x:c r="L670" s="33" t="str"/>
      <x:c r="M670" s="33" t="str">
        <x:v>(94) Val-de-Marne</x:v>
      </x:c>
      <x:c r="N670" s="33" t="str">
        <x:v>Oui</x:v>
      </x:c>
      <x:c r="O670" s="33" t="str">
        <x:v>data.gouv.fr_aife</x:v>
      </x:c>
      <x:c r="P670" s="33" t="str">
        <x:v>2018170009009900</x:v>
      </x:c>
    </x:row>
    <x:row r="671">
      <x:c r="A671" s="33" t="str">
        <x:v>2018150909755900</x:v>
      </x:c>
      <x:c r="B671" s="33" t="str">
        <x:v>MINARM / SGA / SID / ESID Metz - Etablissement du service d'infrastructure de la défense de Metz - ESID Metz</x:v>
      </x:c>
      <x:c r="C671" s="33" t="str">
        <x:v>BAYEN*MICHEL/</x:v>
      </x:c>
      <x:c r="D671" s="33" t="str">
        <x:v>Projet n° 18/USID03/202 - SUIPPES (51) - Quartier BRIDOUX - CENTILA 51ème RI - Bâtiment 0002 - Remise en peinture des locaux</x:v>
      </x:c>
      <x:c r="E671" s="33" t="str">
        <x:v>Peintures et revêtements muraux.</x:v>
      </x:c>
      <x:c r="F671" s="36" t="n">
        <x:v>78932</x:v>
      </x:c>
      <x:c r="G671" s="38" t="n">
        <x:v>43428</x:v>
      </x:c>
      <x:c r="H671" s="38" t="n">
        <x:v>43428</x:v>
      </x:c>
      <x:c r="I671" s="40" t="n">
        <x:v>5</x:v>
      </x:c>
      <x:c r="J671" s="33" t="str">
        <x:v>Marché</x:v>
      </x:c>
      <x:c r="K671" s="33" t="str">
        <x:v>Appel d'offres ouvert</x:v>
      </x:c>
      <x:c r="L671" s="33" t="str">
        <x:v>Ferme et actualisable</x:v>
      </x:c>
      <x:c r="M671" s="33" t="str">
        <x:v>(51) Marne</x:v>
      </x:c>
      <x:c r="N671" s="33" t="str">
        <x:v>Oui</x:v>
      </x:c>
      <x:c r="O671" s="33" t="str">
        <x:v>data.gouv.fr_aife</x:v>
      </x:c>
      <x:c r="P671" s="33" t="str">
        <x:v>2018150909755900</x:v>
      </x:c>
    </x:row>
    <x:row r="672">
      <x:c r="A672" s="33" t="str">
        <x:v>2018100013121500</x:v>
      </x:c>
      <x:c r="B672" s="33" t="str">
        <x:v>MINARM / SGA / SID / DID Papeete - Direction d'infrastructure de la défense de Papeete - DID Papeete</x:v>
      </x:c>
      <x:c r="C672" s="33" t="str">
        <x:v>BERNARD TRAVAUX POLYNESIE SA.</x:v>
      </x:c>
      <x:c r="D672" s="33" t="str">
        <x:v>Polynésie française - Ile de Tahiti - Commune de Faa'a - Résidence Faa'a - Construction de deux bâtiments - - Voieries réseaux divers/Espaces verts</x:v>
      </x:c>
      <x:c r="E672" s="33" t="str">
        <x:v>Travaux de construction d'appartements.</x:v>
      </x:c>
      <x:c r="F672" s="36" t="n">
        <x:v>914606</x:v>
      </x:c>
      <x:c r="G672" s="38" t="n">
        <x:v>43430</x:v>
      </x:c>
      <x:c r="H672" s="38" t="n">
        <x:v>43430</x:v>
      </x:c>
      <x:c r="I672" s="40" t="n">
        <x:v>24</x:v>
      </x:c>
      <x:c r="J672" s="33" t="str"/>
      <x:c r="K672" s="33" t="str"/>
      <x:c r="L672" s="33" t="str"/>
      <x:c r="M672" s="33" t="str">
        <x:v>(987) Polynésie Française</x:v>
      </x:c>
      <x:c r="N672" s="33" t="str">
        <x:v>Oui</x:v>
      </x:c>
      <x:c r="O672" s="33" t="str">
        <x:v>data.gouv.fr_aife</x:v>
      </x:c>
      <x:c r="P672" s="33" t="str">
        <x:v>2018100013121500</x:v>
      </x:c>
    </x:row>
    <x:row r="673">
      <x:c r="A673" s="33" t="str">
        <x:v>2018100013127500</x:v>
      </x:c>
      <x:c r="B673" s="33" t="str">
        <x:v>MINARM / SGA / SID / DID Papeete - Direction d'infrastructure de la défense de Papeete - DID Papeete</x:v>
      </x:c>
      <x:c r="C673" s="33" t="str">
        <x:v>GL CONSTRUCTIONS</x:v>
      </x:c>
      <x:c r="D673" s="33" t="str">
        <x:v>Polynésie française - Ile de Tahiti - Commune de Faa'a - Résidence Faa'a - Construction de deux bâtiments - - Gros-oeuvre / Second oeuvre</x:v>
      </x:c>
      <x:c r="E673" s="33" t="str">
        <x:v>Travaux de construction d'appartements.</x:v>
      </x:c>
      <x:c r="F673" s="36" t="n">
        <x:v>3305920</x:v>
      </x:c>
      <x:c r="G673" s="38" t="n">
        <x:v>43430</x:v>
      </x:c>
      <x:c r="H673" s="38" t="n">
        <x:v>43430</x:v>
      </x:c>
      <x:c r="I673" s="40" t="n">
        <x:v>24</x:v>
      </x:c>
      <x:c r="J673" s="33" t="str"/>
      <x:c r="K673" s="33" t="str"/>
      <x:c r="L673" s="33" t="str"/>
      <x:c r="M673" s="33" t="str">
        <x:v>(987) Polynésie Française</x:v>
      </x:c>
      <x:c r="N673" s="33" t="str">
        <x:v>Oui</x:v>
      </x:c>
      <x:c r="O673" s="33" t="str">
        <x:v>data.gouv.fr_aife</x:v>
      </x:c>
      <x:c r="P673" s="33" t="str">
        <x:v>2018100013127500</x:v>
      </x:c>
    </x:row>
    <x:row r="674">
      <x:c r="A674" s="33" t="str">
        <x:v>2018100013175300</x:v>
      </x:c>
      <x:c r="B674" s="33" t="str">
        <x:v>MINARM / SCA / PFC Paris - Plate-forme commissariat Paris (Saint-Germain-en-Laye)</x:v>
      </x:c>
      <x:c r="C674" s="33" t="str">
        <x:v>VIDEO PLUS</x:v>
      </x:c>
      <x:c r="D674" s="33" t="str">
        <x:v>Acquisition et livraison de matériels photo, vidéo et son au profit du GSBdD de Paris Ecole Militaire (3 lots) - Lot n°3 Matériels son</x:v>
      </x:c>
      <x:c r="E674" s="33" t="str">
        <x:v>Matériel audiovisuel.</x:v>
      </x:c>
      <x:c r="F674" s="36" t="n">
        <x:v>37443</x:v>
      </x:c>
      <x:c r="G674" s="38" t="n">
        <x:v>43430</x:v>
      </x:c>
      <x:c r="H674" s="38" t="n">
        <x:v>43430</x:v>
      </x:c>
      <x:c r="I674" s="40" t="n">
        <x:v>7</x:v>
      </x:c>
      <x:c r="J674" s="33" t="str">
        <x:v>Marché</x:v>
      </x:c>
      <x:c r="K674" s="33" t="str">
        <x:v>Appel d'offres ouvert</x:v>
      </x:c>
      <x:c r="L674" s="33" t="str">
        <x:v>Ferme</x:v>
      </x:c>
      <x:c r="M674" s="33" t="str">
        <x:v>(75) Paris</x:v>
      </x:c>
      <x:c r="N674" s="33" t="str">
        <x:v>Oui</x:v>
      </x:c>
      <x:c r="O674" s="33" t="str">
        <x:v>data.gouv.fr_aife</x:v>
      </x:c>
      <x:c r="P674" s="33" t="str">
        <x:v>2018100013175300</x:v>
      </x:c>
    </x:row>
    <x:row r="675">
      <x:c r="A675" s="33" t="str">
        <x:v>2018130013933300</x:v>
      </x:c>
      <x:c r="B675" s="33" t="str">
        <x:v>"MINARM / SCA / PFC RBT / CIEC - Centre interarmées du soutien équipements commissariat"""""</x:v>
      </x:c>
      <x:c r="C675" s="33" t="str">
        <x:v>SOCIETE DE RECHERCHES ET DE DIFFUSION</x:v>
      </x:c>
      <x:c r="D675" s="33" t="str">
        <x:v>POTAGES INSTANTANES EN DOSES INDIVIDUELLES - Potage individuel instantané légumes</x:v>
      </x:c>
      <x:c r="E675" s="33" t="str">
        <x:v>Soupes instantanées.</x:v>
      </x:c>
      <x:c r="F675" s="36" t="n">
        <x:v>858000</x:v>
      </x:c>
      <x:c r="G675" s="38" t="n">
        <x:v>43430</x:v>
      </x:c>
      <x:c r="H675" s="38" t="n">
        <x:v>43430</x:v>
      </x:c>
      <x:c r="I675" s="40" t="n">
        <x:v>48</x:v>
      </x:c>
      <x:c r="J675" s="33" t="str">
        <x:v>Accord-cadre</x:v>
      </x:c>
      <x:c r="K675" s="33" t="str">
        <x:v>Appel d'offres ouvert</x:v>
      </x:c>
      <x:c r="L675" s="33" t="str">
        <x:v>Révisable</x:v>
      </x:c>
      <x:c r="M675" s="33" t="str">
        <x:v>(49) Maine-et-Loire</x:v>
      </x:c>
      <x:c r="N675" s="33" t="str">
        <x:v>Oui</x:v>
      </x:c>
      <x:c r="O675" s="33" t="str">
        <x:v>data.gouv.fr_aife</x:v>
      </x:c>
      <x:c r="P675" s="33" t="str">
        <x:v>2018130013933300</x:v>
      </x:c>
    </x:row>
    <x:row r="676">
      <x:c r="A676" s="33" t="str">
        <x:v>2018130013951800</x:v>
      </x:c>
      <x:c r="B676" s="33" t="str">
        <x:v>MINARM / SSA / DAPSA - Direction des Approvisionnements en produits de santé des armées</x:v>
      </x:c>
      <x:c r="C676" s="33" t="str">
        <x:v>ROCHE DIAGNOSTICS FRANCE</x:v>
      </x:c>
      <x:c r="D676" s="33" t="str">
        <x:v>mise à disposition d'un automate de coloration BENCHMARK Special Stains et fourniture de consommables associés au profit de l’HIA Sainte-Anne de Toulon</x:v>
      </x:c>
      <x:c r="E676" s="33" t="str">
        <x:v>Réactifs de laboratoire.</x:v>
      </x:c>
      <x:c r="F676" s="36" t="n">
        <x:v>15000</x:v>
      </x:c>
      <x:c r="G676" s="38" t="n">
        <x:v>43430</x:v>
      </x:c>
      <x:c r="H676" s="38" t="n">
        <x:v>43430</x:v>
      </x:c>
      <x:c r="I676" s="40" t="n">
        <x:v>48</x:v>
      </x:c>
      <x:c r="J676" s="33" t="str">
        <x:v>Accord-cadre</x:v>
      </x:c>
      <x:c r="K676" s="33" t="str"/>
      <x:c r="L676" s="33" t="str">
        <x:v>Révisable</x:v>
      </x:c>
      <x:c r="M676" s="33" t="str">
        <x:v>(83) Var</x:v>
      </x:c>
      <x:c r="N676" s="33" t="str">
        <x:v>Oui</x:v>
      </x:c>
      <x:c r="O676" s="33" t="str">
        <x:v>data.gouv.fr_aife</x:v>
      </x:c>
      <x:c r="P676" s="33" t="str">
        <x:v>2018130013951800</x:v>
      </x:c>
    </x:row>
    <x:row r="677">
      <x:c r="A677" s="33" t="str">
        <x:v>20182018S0007800</x:v>
      </x:c>
      <x:c r="B677" s="33" t="str">
        <x:v>MINARM / ESTM / EPA / ONAC - Office National des Anciens Combattants et victimes de guerre</x:v>
      </x:c>
      <x:c r="C677" s="33" t="str">
        <x:v>AZURIAL ESPACES VERTS</x:v>
      </x:c>
      <x:c r="D677" s="33" t="str">
        <x:v>Entretien des espaces verts des nécropoles nationales et des carrés militaires - 2018014POL - Entretien des espaces verts de nécropoles nationales et de carrés militaires dans le Nord et le Pas de Calais</x:v>
      </x:c>
      <x:c r="E677" s="33" t="str">
        <x:v>Réalisation et entretien d'espaces verts.</x:v>
      </x:c>
      <x:c r="F677" s="36" t="n">
        <x:v>30370</x:v>
      </x:c>
      <x:c r="G677" s="38" t="n">
        <x:v>43430</x:v>
      </x:c>
      <x:c r="H677" s="38" t="n">
        <x:v>43430</x:v>
      </x:c>
      <x:c r="I677" s="40" t="n">
        <x:v>48</x:v>
      </x:c>
      <x:c r="J677" s="33" t="str">
        <x:v>Accord-cadre</x:v>
      </x:c>
      <x:c r="K677" s="33" t="str">
        <x:v>Appel d'offres ouvert</x:v>
      </x:c>
      <x:c r="L677" s="33" t="str">
        <x:v>Révisable</x:v>
      </x:c>
      <x:c r="M677" s="33" t="str">
        <x:v>(54) Meurthe-et-Moselle</x:v>
      </x:c>
      <x:c r="N677" s="33" t="str">
        <x:v>Oui</x:v>
      </x:c>
      <x:c r="O677" s="33" t="str">
        <x:v>data.gouv.fr_aife</x:v>
      </x:c>
      <x:c r="P677" s="33" t="str">
        <x:v>20182018S0007800</x:v>
      </x:c>
    </x:row>
    <x:row r="678">
      <x:c r="A678" s="33" t="str">
        <x:v>2018150912408900</x:v>
      </x:c>
      <x:c r="B678" s="33" t="str">
        <x:v>MINARM / SGA / SID / ESID Metz - Etablissement du service d'infrastructure de la défense de Metz - ESID Metz</x:v>
      </x:c>
      <x:c r="C678" s="33" t="str">
        <x:v>SARIBAT</x:v>
      </x:c>
      <x:c r="D678" s="33" t="str">
        <x:v>THIONVILLE (57) – Quartier Jeanne d’Arc – Bâtiment 0016 – Salle polyvalente - Mise en œuvre de l’Ad’AP 2018 – TRAVAUX EXTERIEURS</x:v>
      </x:c>
      <x:c r="E678" s="33" t="str">
        <x:v>Travaux de marquage routier.</x:v>
      </x:c>
      <x:c r="F678" s="36" t="n">
        <x:v>29060</x:v>
      </x:c>
      <x:c r="G678" s="38" t="n">
        <x:v>43430</x:v>
      </x:c>
      <x:c r="H678" s="38" t="n">
        <x:v>43430</x:v>
      </x:c>
      <x:c r="I678" s="40" t="n">
        <x:v>4</x:v>
      </x:c>
      <x:c r="J678" s="33" t="str">
        <x:v>Marché</x:v>
      </x:c>
      <x:c r="K678" s="33" t="str">
        <x:v>Appel d'offres ouvert</x:v>
      </x:c>
      <x:c r="L678" s="33" t="str">
        <x:v>Ferme et actualisable</x:v>
      </x:c>
      <x:c r="M678" s="33" t="str">
        <x:v>(57) Moselle</x:v>
      </x:c>
      <x:c r="N678" s="33" t="str">
        <x:v>Oui</x:v>
      </x:c>
      <x:c r="O678" s="33" t="str">
        <x:v>data.gouv.fr_aife</x:v>
      </x:c>
      <x:c r="P678" s="33" t="str">
        <x:v>2018150912408900</x:v>
      </x:c>
    </x:row>
    <x:row r="679">
      <x:c r="A679" s="33" t="str">
        <x:v>2018100013183300</x:v>
      </x:c>
      <x:c r="B679" s="33" t="str">
        <x:v>MINARM / SCA / PFC Paris - Plate-forme commissariat Paris (Saint-Germain-en-Laye)</x:v>
      </x:c>
      <x:c r="C679" s="33" t="str">
        <x:v>MENATEX SA</x:v>
      </x:c>
      <x:c r="D679" s="33" t="str">
        <x:v>Acquisition et livraison de matériels photo, vidéo et son au profit du GSBdD de Paris Ecole Militaire (3 lots) - Lot n°1Matériels photo</x:v>
      </x:c>
      <x:c r="E679" s="33" t="str">
        <x:v>Matériel de photographie.</x:v>
      </x:c>
      <x:c r="F679" s="36" t="n">
        <x:v>59144</x:v>
      </x:c>
      <x:c r="G679" s="38" t="n">
        <x:v>43430</x:v>
      </x:c>
      <x:c r="H679" s="38" t="n">
        <x:v>43430</x:v>
      </x:c>
      <x:c r="I679" s="40" t="n">
        <x:v>7</x:v>
      </x:c>
      <x:c r="J679" s="33" t="str">
        <x:v>Marché</x:v>
      </x:c>
      <x:c r="K679" s="33" t="str">
        <x:v>Appel d'offres ouvert</x:v>
      </x:c>
      <x:c r="L679" s="33" t="str">
        <x:v>Ferme</x:v>
      </x:c>
      <x:c r="M679" s="33" t="str">
        <x:v>(75) Paris</x:v>
      </x:c>
      <x:c r="N679" s="33" t="str">
        <x:v>Oui</x:v>
      </x:c>
      <x:c r="O679" s="33" t="str">
        <x:v>data.gouv.fr_aife</x:v>
      </x:c>
      <x:c r="P679" s="33" t="str">
        <x:v>2018100013183300</x:v>
      </x:c>
    </x:row>
    <x:row r="680">
      <x:c r="A680" s="33" t="str">
        <x:v>2018100013217300</x:v>
      </x:c>
      <x:c r="B680" s="33" t="str">
        <x:v>MINARM / SSF / DSSF Toulon - Direction du service de soutien de la flotte de Toulon - DSSF Toulon</x:v>
      </x:c>
      <x:c r="C680" s="33" t="str">
        <x:v>SARL EUROFOURNISUD</x:v>
      </x:c>
      <x:c r="D680" s="33" t="str">
        <x:v>Accord cadre M16T20 010 relatif à l’approvisionnement de matériels électriques et électroniques pour le maintien en condition opérationnelle (MCO) des Eléments de Force Maritime (EFM) et des Eléments de Force Armées (EFA). -</x:v>
      </x:c>
      <x:c r="E680" s="33" t="str">
        <x:v>Pièces électroniques et électriques de rechange pour navires de guerre.</x:v>
      </x:c>
      <x:c r="F680" s="36" t="n">
        <x:v>35000</x:v>
      </x:c>
      <x:c r="G680" s="38" t="n">
        <x:v>43430</x:v>
      </x:c>
      <x:c r="H680" s="38" t="n">
        <x:v>43430</x:v>
      </x:c>
      <x:c r="I680" s="40" t="n">
        <x:v>12</x:v>
      </x:c>
      <x:c r="J680" s="33" t="str">
        <x:v>Marché subséquent</x:v>
      </x:c>
      <x:c r="K680" s="33" t="str">
        <x:v>Appel d'offres ouvert</x:v>
      </x:c>
      <x:c r="L680" s="33" t="str">
        <x:v>Ferme et actualisable</x:v>
      </x:c>
      <x:c r="M680" s="33" t="str">
        <x:v>(83) Var</x:v>
      </x:c>
      <x:c r="N680" s="33" t="str">
        <x:v>Oui</x:v>
      </x:c>
      <x:c r="O680" s="33" t="str">
        <x:v>data.gouv.fr_aife</x:v>
      </x:c>
      <x:c r="P680" s="33" t="str">
        <x:v>2018100013217300</x:v>
      </x:c>
    </x:row>
    <x:row r="681">
      <x:c r="A681" s="33" t="str">
        <x:v>2018150910267700</x:v>
      </x:c>
      <x:c r="B681" s="33" t="str">
        <x:v>MINARM / SSF / DSSF Toulon - Direction du service de soutien de la flotte de Toulon - DSSF Toulon</x:v>
      </x:c>
      <x:c r="C681" s="33" t="str">
        <x:v>FENWICK</x:v>
      </x:c>
      <x:c r="D681" s="33" t="str">
        <x:v>Fourniture de pièces détachées de marque TOHATSU ou équivalents pour propulseurs</x:v>
      </x:c>
      <x:c r="E681" s="33" t="str">
        <x:v>Pièces pour moteurs, générateurs et transformateurs électriques.</x:v>
      </x:c>
      <x:c r="F681" s="36" t="n">
        <x:v>27536</x:v>
      </x:c>
      <x:c r="G681" s="38" t="n">
        <x:v>43430</x:v>
      </x:c>
      <x:c r="H681" s="38" t="n">
        <x:v>43430</x:v>
      </x:c>
      <x:c r="I681" s="40" t="n">
        <x:v>5</x:v>
      </x:c>
      <x:c r="J681" s="33" t="str">
        <x:v>Marché</x:v>
      </x:c>
      <x:c r="K681" s="33" t="str">
        <x:v>Appel d'offres ouvert</x:v>
      </x:c>
      <x:c r="L681" s="33" t="str">
        <x:v>Ferme et actualisable</x:v>
      </x:c>
      <x:c r="M681" s="33" t="str">
        <x:v>(83) Var</x:v>
      </x:c>
      <x:c r="N681" s="33" t="str">
        <x:v>Oui</x:v>
      </x:c>
      <x:c r="O681" s="33" t="str">
        <x:v>data.gouv.fr_aife</x:v>
      </x:c>
      <x:c r="P681" s="33" t="str">
        <x:v>2018150910267700</x:v>
      </x:c>
    </x:row>
    <x:row r="682">
      <x:c r="A682" s="33" t="str">
        <x:v>2018110004406000</x:v>
      </x:c>
      <x:c r="B682" s="33" t="str">
        <x:v>MINARM / SGA / SID / ESID Lyon - Etablissement du service d'infrastructure de la défense de Lyon - ESID Lyon</x:v>
      </x:c>
      <x:c r="C682" s="33" t="str">
        <x:v>SPIE BATIGNOLLES SUD EST</x:v>
      </x:c>
      <x:c r="D682" s="33" t="str">
        <x:v>ORANGE (84) Base Aérienne 115 -Construction d'un mess unique, d'un complexe sportif, d'un stationnement et déconstruction du mess existant - Marché public global sectoriel de Conception Construction Aménagement Entretien Maintenance (CCAEM) -</x:v>
      </x:c>
      <x:c r="E682" s="33" t="str">
        <x:v>Travaux de construction complète ou partielle et travaux de génie civil.</x:v>
      </x:c>
      <x:c r="F682" s="36" t="n">
        <x:v>8555272</x:v>
      </x:c>
      <x:c r="G682" s="38" t="n">
        <x:v>43430</x:v>
      </x:c>
      <x:c r="H682" s="38" t="n">
        <x:v>43430</x:v>
      </x:c>
      <x:c r="I682" s="40" t="n">
        <x:v>63</x:v>
      </x:c>
      <x:c r="J682" s="33" t="str">
        <x:v>Marché</x:v>
      </x:c>
      <x:c r="K682" s="33" t="str">
        <x:v>Appel d'offres restreint</x:v>
      </x:c>
      <x:c r="L682" s="33" t="str">
        <x:v>Révisable</x:v>
      </x:c>
      <x:c r="M682" s="33" t="str">
        <x:v>(84) Vaucluse</x:v>
      </x:c>
      <x:c r="N682" s="33" t="str">
        <x:v>Oui</x:v>
      </x:c>
      <x:c r="O682" s="33" t="str">
        <x:v>data.gouv.fr_aife</x:v>
      </x:c>
      <x:c r="P682" s="33" t="str">
        <x:v>2018110004406000</x:v>
      </x:c>
    </x:row>
    <x:row r="683">
      <x:c r="A683" s="33" t="str">
        <x:v>2018150913620300</x:v>
      </x:c>
      <x:c r="B683" s="33" t="str">
        <x:v>MINARM / SGA / SID / ESID Metz - Etablissement du service d'infrastructure de la défense de Metz - ESID Metz</x:v>
      </x:c>
      <x:c r="C683" s="33" t="str">
        <x:v>SANTERNE NORD TERTIAIRE</x:v>
      </x:c>
      <x:c r="D683" s="33" t="str">
        <x:v>BdD LILLE (59) Multi sites - Remise en état de systèmes incendie suite audit état zéro</x:v>
      </x:c>
      <x:c r="E683" s="33" t="str">
        <x:v>Travaux d'installation de dispositifs de prévention contre les incendies.</x:v>
      </x:c>
      <x:c r="F683" s="36" t="n">
        <x:v>74961</x:v>
      </x:c>
      <x:c r="G683" s="38" t="n">
        <x:v>43430</x:v>
      </x:c>
      <x:c r="H683" s="38" t="n">
        <x:v>43430</x:v>
      </x:c>
      <x:c r="I683" s="40" t="n">
        <x:v>3</x:v>
      </x:c>
      <x:c r="J683" s="33" t="str">
        <x:v>Marché</x:v>
      </x:c>
      <x:c r="K683" s="33" t="str">
        <x:v>Appel d'offres ouvert</x:v>
      </x:c>
      <x:c r="L683" s="33" t="str">
        <x:v>Ferme et actualisable</x:v>
      </x:c>
      <x:c r="M683" s="33" t="str">
        <x:v>(59) Nord</x:v>
      </x:c>
      <x:c r="N683" s="33" t="str">
        <x:v>Oui</x:v>
      </x:c>
      <x:c r="O683" s="33" t="str">
        <x:v>data.gouv.fr_aife</x:v>
      </x:c>
      <x:c r="P683" s="33" t="str">
        <x:v>2018150913620300</x:v>
      </x:c>
    </x:row>
    <x:row r="684">
      <x:c r="A684" s="33" t="str">
        <x:v>2018100013178700</x:v>
      </x:c>
      <x:c r="B684" s="33" t="str">
        <x:v>MINARM / SCA / PFC Paris - Plate-forme commissariat Paris (Saint-Germain-en-Laye)</x:v>
      </x:c>
      <x:c r="C684" s="33" t="str">
        <x:v>MENATEX SA</x:v>
      </x:c>
      <x:c r="D684" s="33" t="str">
        <x:v>Acquisition et livraison de matériels photo, vidéo et son au profit du GSBdD de Paris Ecole Militaire (3 lots) - Lot n°2 Matériels vidéo</x:v>
      </x:c>
      <x:c r="E684" s="33" t="str">
        <x:v>Matériel vidéo.</x:v>
      </x:c>
      <x:c r="F684" s="36" t="n">
        <x:v>133809</x:v>
      </x:c>
      <x:c r="G684" s="38" t="n">
        <x:v>43430</x:v>
      </x:c>
      <x:c r="H684" s="38" t="n">
        <x:v>43430</x:v>
      </x:c>
      <x:c r="I684" s="40" t="n">
        <x:v>7</x:v>
      </x:c>
      <x:c r="J684" s="33" t="str">
        <x:v>Marché</x:v>
      </x:c>
      <x:c r="K684" s="33" t="str">
        <x:v>Appel d'offres ouvert</x:v>
      </x:c>
      <x:c r="L684" s="33" t="str">
        <x:v>Ferme</x:v>
      </x:c>
      <x:c r="M684" s="33" t="str">
        <x:v>(75) Paris</x:v>
      </x:c>
      <x:c r="N684" s="33" t="str">
        <x:v>Oui</x:v>
      </x:c>
      <x:c r="O684" s="33" t="str">
        <x:v>data.gouv.fr_aife</x:v>
      </x:c>
      <x:c r="P684" s="33" t="str">
        <x:v>2018100013178700</x:v>
      </x:c>
    </x:row>
    <x:row r="685">
      <x:c r="A685" s="33" t="str">
        <x:v>2018100013204100</x:v>
      </x:c>
      <x:c r="B685" s="33" t="str">
        <x:v>MINARM / SCA / PFC Sud - Plate-forme commissariat Sud (Toulon)</x:v>
      </x:c>
      <x:c r="C685" s="33" t="str">
        <x:v>LANGLOIS</x:v>
      </x:c>
      <x:c r="D685" s="33" t="str">
        <x:v>Acquisition de six moteurs synchrones à axe traversant 1,5Kw au profit du Pôle Écoles Méditerranée à Saint-Mandrier</x:v>
      </x:c>
      <x:c r="E685" s="33" t="str">
        <x:v>Machines industrielles.</x:v>
      </x:c>
      <x:c r="F685" s="36" t="n">
        <x:v>16233</x:v>
      </x:c>
      <x:c r="G685" s="38" t="n">
        <x:v>43430</x:v>
      </x:c>
      <x:c r="H685" s="38" t="n">
        <x:v>43430</x:v>
      </x:c>
      <x:c r="I685" s="40" t="n">
        <x:v>12</x:v>
      </x:c>
      <x:c r="J685" s="33" t="str">
        <x:v>Marché</x:v>
      </x:c>
      <x:c r="K685" s="33" t="str"/>
      <x:c r="L685" s="33" t="str">
        <x:v>Ferme</x:v>
      </x:c>
      <x:c r="M685" s="33" t="str">
        <x:v>(83) Var</x:v>
      </x:c>
      <x:c r="N685" s="33" t="str">
        <x:v>Oui</x:v>
      </x:c>
      <x:c r="O685" s="33" t="str">
        <x:v>data.gouv.fr_aife</x:v>
      </x:c>
      <x:c r="P685" s="33" t="str">
        <x:v>2018100013204100</x:v>
      </x:c>
    </x:row>
    <x:row r="686">
      <x:c r="A686" s="33" t="str">
        <x:v>2018130013932500</x:v>
      </x:c>
      <x:c r="B686" s="33" t="str">
        <x:v>"MINARM / SCA / PFC RBT / CIEC - Centre interarmées du soutien équipements commissariat"""""</x:v>
      </x:c>
      <x:c r="C686" s="33" t="str">
        <x:v>SOCIETE DE RECHERCHES ET DE DIFFUSION</x:v>
      </x:c>
      <x:c r="D686" s="33" t="str">
        <x:v>POTAGES INSTANTANES EN DOSES INDIVIDUELLES - Potage individuel instantané curry</x:v>
      </x:c>
      <x:c r="E686" s="33" t="str">
        <x:v>Soupes instantanées.</x:v>
      </x:c>
      <x:c r="F686" s="36" t="n">
        <x:v>88800</x:v>
      </x:c>
      <x:c r="G686" s="38" t="n">
        <x:v>43430</x:v>
      </x:c>
      <x:c r="H686" s="38" t="n">
        <x:v>43430</x:v>
      </x:c>
      <x:c r="I686" s="40" t="n">
        <x:v>48</x:v>
      </x:c>
      <x:c r="J686" s="33" t="str">
        <x:v>Accord-cadre</x:v>
      </x:c>
      <x:c r="K686" s="33" t="str">
        <x:v>Appel d'offres ouvert</x:v>
      </x:c>
      <x:c r="L686" s="33" t="str">
        <x:v>Révisable</x:v>
      </x:c>
      <x:c r="M686" s="33" t="str">
        <x:v>(49) Maine-et-Loire</x:v>
      </x:c>
      <x:c r="N686" s="33" t="str">
        <x:v>Oui</x:v>
      </x:c>
      <x:c r="O686" s="33" t="str">
        <x:v>data.gouv.fr_aife</x:v>
      </x:c>
      <x:c r="P686" s="33" t="str">
        <x:v>2018130013932500</x:v>
      </x:c>
    </x:row>
    <x:row r="687">
      <x:c r="A687" s="33" t="str">
        <x:v>2018110004436000</x:v>
      </x:c>
      <x:c r="B687" s="33" t="str">
        <x:v>MINARM / DMAé - Direction de la maintenance aéronautique</x:v>
      </x:c>
      <x:c r="C687" s="33" t="str">
        <x:v>CAPGEMINI TECHNOLOGY SERVICES</x:v>
      </x:c>
      <x:c r="D687" s="33" t="str">
        <x:v>Modernisation du SI RENODOC</x:v>
      </x:c>
      <x:c r="E687" s="33" t="str">
        <x:v>Services de développement de logiciels de gestion de documents.</x:v>
      </x:c>
      <x:c r="F687" s="36" t="n">
        <x:v>2652930</x:v>
      </x:c>
      <x:c r="G687" s="38" t="n">
        <x:v>43430</x:v>
      </x:c>
      <x:c r="H687" s="38" t="n">
        <x:v>43430</x:v>
      </x:c>
      <x:c r="I687" s="40" t="n">
        <x:v>15</x:v>
      </x:c>
      <x:c r="J687" s="33" t="str">
        <x:v>Marché</x:v>
      </x:c>
      <x:c r="K687" s="33" t="str"/>
      <x:c r="L687" s="33" t="str">
        <x:v>Ferme et actualisable</x:v>
      </x:c>
      <x:c r="M687" s="33" t="str">
        <x:v>(22) Côtes-d'Armor</x:v>
      </x:c>
      <x:c r="N687" s="33" t="str">
        <x:v>Oui</x:v>
      </x:c>
      <x:c r="O687" s="33" t="str">
        <x:v>data.gouv.fr_aife</x:v>
      </x:c>
      <x:c r="P687" s="33" t="str">
        <x:v>2018110004436000</x:v>
      </x:c>
    </x:row>
    <x:row r="688">
      <x:c r="A688" s="33" t="str">
        <x:v>2018100013188600</x:v>
      </x:c>
      <x:c r="B688" s="33" t="str">
        <x:v>MINARM / SSF / DSSF Toulon - Direction du service de soutien de la flotte de Toulon - DSSF Toulon</x:v>
      </x:c>
      <x:c r="C688" s="33" t="str">
        <x:v>LOGNAV-CM</x:v>
      </x:c>
      <x:c r="D688" s="33" t="str">
        <x:v>Accord cadre M16T20 024 relatif à la fourniture de rechanges de joints d’étanchéité divers pour les besoins nécessaires au maintien en condition opérationnelle des Eléments de la Force Maritime. -</x:v>
      </x:c>
      <x:c r="E688" s="33" t="str">
        <x:v>Pièces pour navires de guerre.</x:v>
      </x:c>
      <x:c r="F688" s="36" t="n">
        <x:v>17806</x:v>
      </x:c>
      <x:c r="G688" s="38" t="n">
        <x:v>43430</x:v>
      </x:c>
      <x:c r="H688" s="38" t="n">
        <x:v>43430</x:v>
      </x:c>
      <x:c r="I688" s="40" t="n">
        <x:v>4</x:v>
      </x:c>
      <x:c r="J688" s="33" t="str">
        <x:v>Marché subséquent</x:v>
      </x:c>
      <x:c r="K688" s="33" t="str">
        <x:v>Appel d'offres ouvert</x:v>
      </x:c>
      <x:c r="L688" s="33" t="str">
        <x:v>Ferme et actualisable</x:v>
      </x:c>
      <x:c r="M688" s="33" t="str">
        <x:v>(83) Var</x:v>
      </x:c>
      <x:c r="N688" s="33" t="str">
        <x:v>Oui</x:v>
      </x:c>
      <x:c r="O688" s="33" t="str">
        <x:v>data.gouv.fr_aife</x:v>
      </x:c>
      <x:c r="P688" s="33" t="str">
        <x:v>2018100013188600</x:v>
      </x:c>
    </x:row>
    <x:row r="689">
      <x:c r="A689" s="33" t="str">
        <x:v>2018130013895700</x:v>
      </x:c>
      <x:c r="B689" s="33" t="str">
        <x:v>MINARM / DIRISI - Direction Interarmées des Réseaux d'Infrastructure et des Systèmes d'Information de la défense</x:v>
      </x:c>
      <x:c r="C689" s="33" t="str">
        <x:v>COMPUTACENTER FRANCE</x:v>
      </x:c>
      <x:c r="D689" s="33" t="str">
        <x:v>ACQUISITION DE SOLUTIONS SPECIFIQUES EN MATIERE DE SERVEURS, DE STOCKAGE, DE SAUVEGARDE ET DE SERVICES CONNEXES AU PROFIT DES CLIENTS DE LA DIRISI</x:v>
      </x:c>
      <x:c r="E689" s="33" t="str">
        <x:v>Serveurs informatiques.</x:v>
      </x:c>
      <x:c r="F689" s="36" t="n">
        <x:v>168000000</x:v>
      </x:c>
      <x:c r="G689" s="38" t="n">
        <x:v>43430</x:v>
      </x:c>
      <x:c r="H689" s="38" t="n">
        <x:v>43430</x:v>
      </x:c>
      <x:c r="I689" s="40" t="n">
        <x:v>84</x:v>
      </x:c>
      <x:c r="J689" s="33" t="str">
        <x:v>Marché subséquent</x:v>
      </x:c>
      <x:c r="K689" s="33" t="str"/>
      <x:c r="L689" s="33" t="str">
        <x:v>Révisable</x:v>
      </x:c>
      <x:c r="M689" s="33" t="str">
        <x:v>(94) Val-de-Marne</x:v>
      </x:c>
      <x:c r="N689" s="33" t="str">
        <x:v>Oui</x:v>
      </x:c>
      <x:c r="O689" s="33" t="str">
        <x:v>data.gouv.fr_aife</x:v>
      </x:c>
      <x:c r="P689" s="33" t="str">
        <x:v>2018130013895700</x:v>
      </x:c>
    </x:row>
    <x:row r="690">
      <x:c r="A690" s="33" t="str">
        <x:v>20182018S0007600</x:v>
      </x:c>
      <x:c r="B690" s="33" t="str">
        <x:v>MINARM / ESTM / EPA / ONAC - Office National des Anciens Combattants et victimes de guerre</x:v>
      </x:c>
      <x:c r="C690" s="33" t="str">
        <x:v>HORIZON ESPACES VERTS</x:v>
      </x:c>
      <x:c r="D690" s="33" t="str">
        <x:v>Entretien des espaces verts des nécropoles nationales et des carrés militaires - 2018012POL - Entretien des espaces verts de nécropoles nationales et de carrés militaires dans le Nord</x:v>
      </x:c>
      <x:c r="E690" s="33" t="str">
        <x:v>Réalisation et entretien d'espaces verts.</x:v>
      </x:c>
      <x:c r="F690" s="36" t="n">
        <x:v>136866</x:v>
      </x:c>
      <x:c r="G690" s="38" t="n">
        <x:v>43430</x:v>
      </x:c>
      <x:c r="H690" s="38" t="n">
        <x:v>43430</x:v>
      </x:c>
      <x:c r="I690" s="40" t="n">
        <x:v>48</x:v>
      </x:c>
      <x:c r="J690" s="33" t="str">
        <x:v>Accord-cadre</x:v>
      </x:c>
      <x:c r="K690" s="33" t="str">
        <x:v>Appel d'offres ouvert</x:v>
      </x:c>
      <x:c r="L690" s="33" t="str">
        <x:v>Révisable</x:v>
      </x:c>
      <x:c r="M690" s="33" t="str">
        <x:v>(54) Meurthe-et-Moselle</x:v>
      </x:c>
      <x:c r="N690" s="33" t="str">
        <x:v>Oui</x:v>
      </x:c>
      <x:c r="O690" s="33" t="str">
        <x:v>data.gouv.fr_aife</x:v>
      </x:c>
      <x:c r="P690" s="33" t="str">
        <x:v>20182018S0007600</x:v>
      </x:c>
    </x:row>
    <x:row r="691">
      <x:c r="A691" s="33" t="str">
        <x:v>20182018S5018200</x:v>
      </x:c>
      <x:c r="B691" s="33" t="str">
        <x:v>MINARM / ESTM / EPA / ONAC - Office National des Anciens Combattants et victimes de guerre</x:v>
      </x:c>
      <x:c r="C691" s="33" t="str">
        <x:v>IDVERDE</x:v>
      </x:c>
      <x:c r="D691" s="33" t="str">
        <x:v>Entretien des espaces verts des nécropoles nationales et des carrés militaires - 2018020POL - Entretien des espaces verts de la nécropole nationale de Assevent</x:v>
      </x:c>
      <x:c r="E691" s="33" t="str">
        <x:v>Réalisation et entretien d'espaces verts.</x:v>
      </x:c>
      <x:c r="F691" s="36" t="n">
        <x:v>12308</x:v>
      </x:c>
      <x:c r="G691" s="38" t="n">
        <x:v>43430</x:v>
      </x:c>
      <x:c r="H691" s="38" t="n">
        <x:v>43430</x:v>
      </x:c>
      <x:c r="I691" s="40" t="n">
        <x:v>48</x:v>
      </x:c>
      <x:c r="J691" s="33" t="str">
        <x:v>Accord-cadre</x:v>
      </x:c>
      <x:c r="K691" s="33" t="str">
        <x:v>Appel d'offres ouvert</x:v>
      </x:c>
      <x:c r="L691" s="33" t="str">
        <x:v>Révisable</x:v>
      </x:c>
      <x:c r="M691" s="33" t="str">
        <x:v>(54) Meurthe-et-Moselle</x:v>
      </x:c>
      <x:c r="N691" s="33" t="str">
        <x:v>Oui</x:v>
      </x:c>
      <x:c r="O691" s="33" t="str">
        <x:v>data.gouv.fr_aife</x:v>
      </x:c>
      <x:c r="P691" s="33" t="str">
        <x:v>20182018S5018200</x:v>
      </x:c>
    </x:row>
    <x:row r="692">
      <x:c r="A692" s="33" t="str">
        <x:v>2018100013178200</x:v>
      </x:c>
      <x:c r="B692" s="33" t="str">
        <x:v>MINARM / SGA / SID / ESID Lyon - Etablissement du service d'infrastructure de la défense de Lyon - ESID Lyon</x:v>
      </x:c>
      <x:c r="C692" s="33" t="str">
        <x:v>INGEROP CONSEIL ET INGENIERIE (ICI)</x:v>
      </x:c>
      <x:c r="D692" s="33" t="str">
        <x:v>VARCES (93) Quartier De Reynies.93 RAM . PGR SCORPION. Marché d'OPC pour l'adaptation de la zone technique . Accueil des VBMR.</x:v>
      </x:c>
      <x:c r="E692" s="33" t="str"/>
      <x:c r="F692" s="36" t="n">
        <x:v>80400</x:v>
      </x:c>
      <x:c r="G692" s="38" t="n">
        <x:v>43430</x:v>
      </x:c>
      <x:c r="H692" s="38" t="n">
        <x:v>43430</x:v>
      </x:c>
      <x:c r="I692" s="40" t="n">
        <x:v>44</x:v>
      </x:c>
      <x:c r="J692" s="33" t="str"/>
      <x:c r="K692" s="33" t="str"/>
      <x:c r="L692" s="33" t="str"/>
      <x:c r="M692" s="33" t="str">
        <x:v>(69) Rhône</x:v>
      </x:c>
      <x:c r="N692" s="33" t="str">
        <x:v>Oui</x:v>
      </x:c>
      <x:c r="O692" s="33" t="str">
        <x:v>data.gouv.fr_aife</x:v>
      </x:c>
      <x:c r="P692" s="33" t="str">
        <x:v>2018100013178200</x:v>
      </x:c>
    </x:row>
    <x:row r="693">
      <x:c r="A693" s="33" t="str">
        <x:v>2018150913636600</x:v>
      </x:c>
      <x:c r="B693" s="33" t="str">
        <x:v>MINARM / SCA / PFC Sud - Plate-forme commissariat Sud (Toulon)</x:v>
      </x:c>
      <x:c r="C693" s="33" t="str">
        <x:v>CAZENEUVE</x:v>
      </x:c>
      <x:c r="D693" s="33" t="str">
        <x:v>Acquisition et livraison d'un tour à commande assistée par apprentissage au profit du Pôle Ecoles Méditerranée de Saint Mandrier</x:v>
      </x:c>
      <x:c r="E693" s="33" t="str">
        <x:v>Tours, machines à aléser et à fraiser.</x:v>
      </x:c>
      <x:c r="F693" s="36" t="n">
        <x:v>72800</x:v>
      </x:c>
      <x:c r="G693" s="38" t="n">
        <x:v>43430</x:v>
      </x:c>
      <x:c r="H693" s="38" t="n">
        <x:v>43430</x:v>
      </x:c>
      <x:c r="I693" s="40" t="n">
        <x:v>12</x:v>
      </x:c>
      <x:c r="J693" s="33" t="str">
        <x:v>Marché</x:v>
      </x:c>
      <x:c r="K693" s="33" t="str">
        <x:v>Appel d'offres ouvert</x:v>
      </x:c>
      <x:c r="L693" s="33" t="str">
        <x:v>Ferme</x:v>
      </x:c>
      <x:c r="M693" s="33" t="str">
        <x:v>(83) Var</x:v>
      </x:c>
      <x:c r="N693" s="33" t="str">
        <x:v>Oui</x:v>
      </x:c>
      <x:c r="O693" s="33" t="str">
        <x:v>data.gouv.fr_aife</x:v>
      </x:c>
      <x:c r="P693" s="33" t="str">
        <x:v>2018150913636600</x:v>
      </x:c>
    </x:row>
    <x:row r="694">
      <x:c r="A694" s="33" t="str">
        <x:v>2018150914006500</x:v>
      </x:c>
      <x:c r="B694" s="33" t="str">
        <x:v>MINARM / SCA / PFC Sud - Plate-forme commissariat Sud (Toulon)</x:v>
      </x:c>
      <x:c r="C694" s="33" t="str"/>
      <x:c r="D694" s="33" t="str">
        <x:v>Acquisition et livraison d'un logiciel simulateur de vol balistique et d'une formation "module solutions logicielles chartes de tir" au profit des commandos marine</x:v>
      </x:c>
      <x:c r="E694" s="33" t="str">
        <x:v>Logiciels mathématiques ou prévisionnels.</x:v>
      </x:c>
      <x:c r="F694" s="36" t="n">
        <x:v>67695</x:v>
      </x:c>
      <x:c r="G694" s="38" t="n">
        <x:v>43430</x:v>
      </x:c>
      <x:c r="H694" s="38" t="n">
        <x:v>43430</x:v>
      </x:c>
      <x:c r="I694" s="40" t="n">
        <x:v>12</x:v>
      </x:c>
      <x:c r="J694" s="33" t="str">
        <x:v>Marché</x:v>
      </x:c>
      <x:c r="K694" s="33" t="str"/>
      <x:c r="L694" s="33" t="str">
        <x:v>Ferme</x:v>
      </x:c>
      <x:c r="M694" s="33" t="str">
        <x:v>(83) Var</x:v>
      </x:c>
      <x:c r="N694" s="33" t="str">
        <x:v>Oui</x:v>
      </x:c>
      <x:c r="O694" s="33" t="str">
        <x:v>data.gouv.fr_aife</x:v>
      </x:c>
      <x:c r="P694" s="33" t="str">
        <x:v>2018150914006500</x:v>
      </x:c>
    </x:row>
    <x:row r="695">
      <x:c r="A695" s="33" t="str">
        <x:v>2018130013953000</x:v>
      </x:c>
      <x:c r="B695" s="33" t="str">
        <x:v>MINARM / DGA / DO / S2A / PROD / DA-BA - Division achats - Toulouse/Balma</x:v>
      </x:c>
      <x:c r="C695" s="33" t="str">
        <x:v>DERICHEBOURG ATIS AERONAUTIQUE</x:v>
      </x:c>
      <x:c r="D695" s="33" t="str">
        <x:v>Réalisation d'installations d'essais de la CEF RAFALE pour DGA Techniques aéronautiques.</x:v>
      </x:c>
      <x:c r="E695" s="33" t="str">
        <x:v>Travaux de construction.</x:v>
      </x:c>
      <x:c r="F695" s="36" t="n">
        <x:v>1590593</x:v>
      </x:c>
      <x:c r="G695" s="38" t="n">
        <x:v>43430</x:v>
      </x:c>
      <x:c r="H695" s="38" t="n">
        <x:v>43430</x:v>
      </x:c>
      <x:c r="I695" s="40" t="n">
        <x:v>72</x:v>
      </x:c>
      <x:c r="J695" s="33" t="str">
        <x:v>Marché subséquent</x:v>
      </x:c>
      <x:c r="K695" s="33" t="str"/>
      <x:c r="L695" s="33" t="str">
        <x:v>Ferme</x:v>
      </x:c>
      <x:c r="M695" s="33" t="str">
        <x:v>(31) Haute-Garonne</x:v>
      </x:c>
      <x:c r="N695" s="33" t="str">
        <x:v>Oui</x:v>
      </x:c>
      <x:c r="O695" s="33" t="str">
        <x:v>data.gouv.fr_aife</x:v>
      </x:c>
      <x:c r="P695" s="33" t="str">
        <x:v>2018130013953000</x:v>
      </x:c>
    </x:row>
    <x:row r="696">
      <x:c r="A696" s="33" t="str">
        <x:v>2018100013209600</x:v>
      </x:c>
      <x:c r="B696" s="33" t="str">
        <x:v>MINARM / SSF / DSSF Toulon - Direction du service de soutien de la flotte de Toulon - DSSF Toulon</x:v>
      </x:c>
      <x:c r="C696" s="33" t="str">
        <x:v>SARL EUROFOURNISUD</x:v>
      </x:c>
      <x:c r="D696" s="33" t="str">
        <x:v>Accord-Cadre M16T20 010 relatif à l’approvisionnement de matériels électriques et électroniques pour le maintien en condition opérationnelle des Éléments de Force Maritime</x:v>
      </x:c>
      <x:c r="E696" s="33" t="str">
        <x:v>Pièces électroniques et électriques de rechange pour navires de guerre.</x:v>
      </x:c>
      <x:c r="F696" s="36" t="n">
        <x:v>11800</x:v>
      </x:c>
      <x:c r="G696" s="38" t="n">
        <x:v>43430</x:v>
      </x:c>
      <x:c r="H696" s="38" t="n">
        <x:v>43430</x:v>
      </x:c>
      <x:c r="I696" s="40" t="n">
        <x:v>12</x:v>
      </x:c>
      <x:c r="J696" s="33" t="str">
        <x:v>Marché subséquent</x:v>
      </x:c>
      <x:c r="K696" s="33" t="str">
        <x:v>Appel d'offres ouvert</x:v>
      </x:c>
      <x:c r="L696" s="33" t="str">
        <x:v>Ferme et actualisable</x:v>
      </x:c>
      <x:c r="M696" s="33" t="str">
        <x:v>(83) Var</x:v>
      </x:c>
      <x:c r="N696" s="33" t="str">
        <x:v>Oui</x:v>
      </x:c>
      <x:c r="O696" s="33" t="str">
        <x:v>data.gouv.fr_aife</x:v>
      </x:c>
      <x:c r="P696" s="33" t="str">
        <x:v>2018100013209600</x:v>
      </x:c>
    </x:row>
    <x:row r="697">
      <x:c r="A697" s="33" t="str">
        <x:v>2018100013224100</x:v>
      </x:c>
      <x:c r="B697" s="33" t="str">
        <x:v>MINARM / SSF / DSSF Toulon - Direction du service de soutien de la flotte de Toulon - DSSF Toulon</x:v>
      </x:c>
      <x:c r="C697" s="33" t="str">
        <x:v>LOGNAV-CM</x:v>
      </x:c>
      <x:c r="D697" s="33" t="str">
        <x:v>Accord cadre M16T20 003 relatif à la fourniture de matériels de quincaillerie et d'outillage naval. -</x:v>
      </x:c>
      <x:c r="E697" s="33" t="str">
        <x:v>Quincaillerie.</x:v>
      </x:c>
      <x:c r="F697" s="36" t="n">
        <x:v>68119</x:v>
      </x:c>
      <x:c r="G697" s="38" t="n">
        <x:v>43430</x:v>
      </x:c>
      <x:c r="H697" s="38" t="n">
        <x:v>43430</x:v>
      </x:c>
      <x:c r="I697" s="40" t="n">
        <x:v>12</x:v>
      </x:c>
      <x:c r="J697" s="33" t="str">
        <x:v>Marché subséquent</x:v>
      </x:c>
      <x:c r="K697" s="33" t="str"/>
      <x:c r="L697" s="33" t="str">
        <x:v>Ferme et actualisable</x:v>
      </x:c>
      <x:c r="M697" s="33" t="str">
        <x:v>(83) Var</x:v>
      </x:c>
      <x:c r="N697" s="33" t="str">
        <x:v>Oui</x:v>
      </x:c>
      <x:c r="O697" s="33" t="str">
        <x:v>data.gouv.fr_aife</x:v>
      </x:c>
      <x:c r="P697" s="33" t="str">
        <x:v>2018100013224100</x:v>
      </x:c>
    </x:row>
    <x:row r="698">
      <x:c r="A698" s="33" t="str">
        <x:v>20182018S0007700</x:v>
      </x:c>
      <x:c r="B698" s="33" t="str">
        <x:v>MINARM / ESTM / EPA / ONAC - Office National des Anciens Combattants et victimes de guerre</x:v>
      </x:c>
      <x:c r="C698" s="33" t="str">
        <x:v>AZURIAL ESPACES VERTS</x:v>
      </x:c>
      <x:c r="D698" s="33" t="str">
        <x:v>Entretien des espaces verts des nécropoles nationales et des carrés militaires - 2018013POL - Entretien des espaces verts de la nécropole nationale "La Targette" à Neuville St Vaast</x:v>
      </x:c>
      <x:c r="E698" s="33" t="str">
        <x:v>Réalisation et entretien d'espaces verts.</x:v>
      </x:c>
      <x:c r="F698" s="36" t="n">
        <x:v>43982</x:v>
      </x:c>
      <x:c r="G698" s="38" t="n">
        <x:v>43430</x:v>
      </x:c>
      <x:c r="H698" s="38" t="n">
        <x:v>43430</x:v>
      </x:c>
      <x:c r="I698" s="40" t="n">
        <x:v>48</x:v>
      </x:c>
      <x:c r="J698" s="33" t="str">
        <x:v>Accord-cadre</x:v>
      </x:c>
      <x:c r="K698" s="33" t="str">
        <x:v>Appel d'offres ouvert</x:v>
      </x:c>
      <x:c r="L698" s="33" t="str">
        <x:v>Révisable</x:v>
      </x:c>
      <x:c r="M698" s="33" t="str">
        <x:v>(54) Meurthe-et-Moselle</x:v>
      </x:c>
      <x:c r="N698" s="33" t="str">
        <x:v>Oui</x:v>
      </x:c>
      <x:c r="O698" s="33" t="str">
        <x:v>data.gouv.fr_aife</x:v>
      </x:c>
      <x:c r="P698" s="33" t="str">
        <x:v>20182018S0007700</x:v>
      </x:c>
    </x:row>
    <x:row r="699">
      <x:c r="A699" s="33" t="str">
        <x:v>20182018S8002500</x:v>
      </x:c>
      <x:c r="B699" s="33" t="str">
        <x:v>MINARM / ESTM / EPA / MAE - Musée de l'Air et de l'Espace</x:v>
      </x:c>
      <x:c r="C699" s="33" t="str">
        <x:v>TRUBERT*/ISALINE /</x:v>
      </x:c>
      <x:c r="D699" s="33" t="str">
        <x:v>La présente consultation porte sur lexécution de prestations de services relatives à la restauration de peinture de chevalet (objets des collections), en vue de la nouvelle exposition permanente de la grande galerie du musée de lAir et de lEspace. - Ob</x:v>
      </x:c>
      <x:c r="E699" s="33" t="str">
        <x:v>Services de conservation des objets exposés.</x:v>
      </x:c>
      <x:c r="F699" s="36" t="n">
        <x:v>16156</x:v>
      </x:c>
      <x:c r="G699" s="38" t="n">
        <x:v>43430</x:v>
      </x:c>
      <x:c r="H699" s="38" t="n">
        <x:v>43430</x:v>
      </x:c>
      <x:c r="I699" s="40" t="n">
        <x:v>3</x:v>
      </x:c>
      <x:c r="J699" s="33" t="str">
        <x:v>Marché</x:v>
      </x:c>
      <x:c r="K699" s="33" t="str">
        <x:v>Procédure adaptée</x:v>
      </x:c>
      <x:c r="L699" s="33" t="str">
        <x:v>Ferme</x:v>
      </x:c>
      <x:c r="M699" s="33" t="str">
        <x:v>(93) Seine-Saint-Denis</x:v>
      </x:c>
      <x:c r="N699" s="33" t="str">
        <x:v>Oui</x:v>
      </x:c>
      <x:c r="O699" s="33" t="str">
        <x:v>data.gouv.fr_aife</x:v>
      </x:c>
      <x:c r="P699" s="33" t="str">
        <x:v>20182018S8002500</x:v>
      </x:c>
    </x:row>
    <x:row r="700">
      <x:c r="A700" s="33" t="str">
        <x:v>2018150914016200</x:v>
      </x:c>
      <x:c r="B700" s="33" t="str">
        <x:v>MINARM / SGA / SID / ESID IDF - Etablissement du Service d'infrastructure de la défense d'Ile de France - ESID Ile de France</x:v>
      </x:c>
      <x:c r="C700" s="33" t="str">
        <x:v>LUTECE</x:v>
      </x:c>
      <x:c r="D700" s="33" t="str">
        <x:v>L'opération consiste à réaliser : - - un bâtiment modulaire de bureaux de trois niveaux permettant d'accueillir successivement plusieurs services sur une durée comprise entre 15 et 20 ans ; - - aménager une pièce du bâtiment 0005 en local informatique</x:v>
      </x:c>
      <x:c r="E700" s="33" t="str">
        <x:v>Bâtiments modulaires préfabriqués.</x:v>
      </x:c>
      <x:c r="F700" s="36" t="n">
        <x:v>1935369</x:v>
      </x:c>
      <x:c r="G700" s="38" t="n">
        <x:v>43430</x:v>
      </x:c>
      <x:c r="H700" s="38" t="n">
        <x:v>43430</x:v>
      </x:c>
      <x:c r="I700" s="40" t="n">
        <x:v>12</x:v>
      </x:c>
      <x:c r="J700" s="33" t="str">
        <x:v>Marché</x:v>
      </x:c>
      <x:c r="K700" s="33" t="str">
        <x:v>Procédure adaptée</x:v>
      </x:c>
      <x:c r="L700" s="33" t="str">
        <x:v>Ferme et actualisable</x:v>
      </x:c>
      <x:c r="M700" s="33" t="str">
        <x:v>(60) Oise</x:v>
      </x:c>
      <x:c r="N700" s="33" t="str">
        <x:v>Oui</x:v>
      </x:c>
      <x:c r="O700" s="33" t="str">
        <x:v>data.gouv.fr_aife</x:v>
      </x:c>
      <x:c r="P700" s="33" t="str">
        <x:v>2018150914016200</x:v>
      </x:c>
    </x:row>
    <x:row r="701">
      <x:c r="A701" s="33" t="str">
        <x:v>2018150913237300</x:v>
      </x:c>
      <x:c r="B701" s="33" t="str">
        <x:v>MINARM / SGA / SID / ESID Lyon - Etablissement du service d'infrastructure de la défense de Lyon - ESID Lyon</x:v>
      </x:c>
      <x:c r="C701" s="33" t="str">
        <x:v>EMMANUELLI CONCEPT MENUISERIE ALU</x:v>
      </x:c>
      <x:c r="D701" s="33" t="str">
        <x:v>Les stipulations de la présente consultation concernent l’exécution des travaux de remplacement de vitrages en vigies. - Lieu(x) d'exécution des travaux : ERSA et BRANDO (2B) - Sémaphore du Cap Corse et Sagro.</x:v>
      </x:c>
      <x:c r="E701" s="33" t="str">
        <x:v>Travaux de vitrerie.</x:v>
      </x:c>
      <x:c r="F701" s="36" t="n">
        <x:v>65414</x:v>
      </x:c>
      <x:c r="G701" s="38" t="n">
        <x:v>43430</x:v>
      </x:c>
      <x:c r="H701" s="38" t="n">
        <x:v>43430</x:v>
      </x:c>
      <x:c r="I701" s="40" t="n">
        <x:v>5</x:v>
      </x:c>
      <x:c r="J701" s="33" t="str">
        <x:v>Marché</x:v>
      </x:c>
      <x:c r="K701" s="33" t="str">
        <x:v>Procédure adaptée</x:v>
      </x:c>
      <x:c r="L701" s="33" t="str">
        <x:v>Ferme et actualisable</x:v>
      </x:c>
      <x:c r="M701" s="33" t="str">
        <x:v>(2A) Corse-du-Sud</x:v>
      </x:c>
      <x:c r="N701" s="33" t="str">
        <x:v>Oui</x:v>
      </x:c>
      <x:c r="O701" s="33" t="str">
        <x:v>data.gouv.fr_aife</x:v>
      </x:c>
      <x:c r="P701" s="33" t="str">
        <x:v>2018150913237300</x:v>
      </x:c>
    </x:row>
    <x:row r="702">
      <x:c r="A702" s="33" t="str">
        <x:v>2018150913618400</x:v>
      </x:c>
      <x:c r="B702" s="33" t="str">
        <x:v>MINARM / SGA / SID / ESID Metz - Etablissement du service d'infrastructure de la défense de Metz - ESID Metz</x:v>
      </x:c>
      <x:c r="C702" s="33" t="str">
        <x:v>SA MENUISERIE METTEY</x:v>
      </x:c>
      <x:c r="D702" s="33" t="str">
        <x:v>BELFORT (90) - Caserne de MAUD'HUY - Bât 18 et 25 - Remplacement des portes coupe-feu</x:v>
      </x:c>
      <x:c r="E702" s="33" t="str">
        <x:v>Portes.</x:v>
      </x:c>
      <x:c r="F702" s="36" t="n">
        <x:v>55257</x:v>
      </x:c>
      <x:c r="G702" s="38" t="n">
        <x:v>43430</x:v>
      </x:c>
      <x:c r="H702" s="38" t="n">
        <x:v>43430</x:v>
      </x:c>
      <x:c r="I702" s="40" t="n">
        <x:v>3</x:v>
      </x:c>
      <x:c r="J702" s="33" t="str">
        <x:v>Marché</x:v>
      </x:c>
      <x:c r="K702" s="33" t="str">
        <x:v>Appel d'offres ouvert</x:v>
      </x:c>
      <x:c r="L702" s="33" t="str">
        <x:v>Ferme et actualisable</x:v>
      </x:c>
      <x:c r="M702" s="33" t="str">
        <x:v>(90) Territoire-de-Belfort</x:v>
      </x:c>
      <x:c r="N702" s="33" t="str">
        <x:v>Oui</x:v>
      </x:c>
      <x:c r="O702" s="33" t="str">
        <x:v>data.gouv.fr_aife</x:v>
      </x:c>
      <x:c r="P702" s="33" t="str">
        <x:v>2018150913618400</x:v>
      </x:c>
    </x:row>
    <x:row r="703">
      <x:c r="A703" s="33" t="str">
        <x:v>2018100013187100</x:v>
      </x:c>
      <x:c r="B703" s="33" t="str">
        <x:v>MINARM / SSF / DSSF Toulon - Direction du service de soutien de la flotte de Toulon - DSSF Toulon</x:v>
      </x:c>
      <x:c r="C703" s="33" t="str">
        <x:v>LOGNAV-CM</x:v>
      </x:c>
      <x:c r="D703" s="33" t="str">
        <x:v>Accord cadre M16T20 024 relatif à la fourniture de rechanges de joints d’étanchéité divers pour les besoins nécessaires au maintien en condition opérationnelle des Eléments de la Force Maritime. -</x:v>
      </x:c>
      <x:c r="E703" s="33" t="str">
        <x:v>Pièces pour navires de guerre.</x:v>
      </x:c>
      <x:c r="F703" s="36" t="n">
        <x:v>7844</x:v>
      </x:c>
      <x:c r="G703" s="38" t="n">
        <x:v>43430</x:v>
      </x:c>
      <x:c r="H703" s="38" t="n">
        <x:v>43430</x:v>
      </x:c>
      <x:c r="I703" s="40" t="n">
        <x:v>3</x:v>
      </x:c>
      <x:c r="J703" s="33" t="str">
        <x:v>Marché subséquent</x:v>
      </x:c>
      <x:c r="K703" s="33" t="str">
        <x:v>Appel d'offres ouvert</x:v>
      </x:c>
      <x:c r="L703" s="33" t="str">
        <x:v>Ferme et actualisable</x:v>
      </x:c>
      <x:c r="M703" s="33" t="str">
        <x:v>(83) Var</x:v>
      </x:c>
      <x:c r="N703" s="33" t="str">
        <x:v>Oui</x:v>
      </x:c>
      <x:c r="O703" s="33" t="str">
        <x:v>data.gouv.fr_aife</x:v>
      </x:c>
      <x:c r="P703" s="33" t="str">
        <x:v>2018100013187100</x:v>
      </x:c>
    </x:row>
    <x:row r="704">
      <x:c r="A704" s="33" t="str">
        <x:v>2018150913618500</x:v>
      </x:c>
      <x:c r="B704" s="33" t="str">
        <x:v>MINARM / SGA / DSNJ - Direction du Service National et de la Jeunesse - DSNJ</x:v>
      </x:c>
      <x:c r="C704" s="33" t="str">
        <x:v>LK - VOYAGES LUCIEN KUNEGEL</x:v>
      </x:c>
      <x:c r="D704" s="33" t="str">
        <x:v>Transport par autocar de l'équipe encadrante et des jeunes administrés convoqués à la Journée Défense et Citoyenneté (JDC) par les Centres du Service National - CSN Strasbourg Site du 54ème RT</x:v>
      </x:c>
      <x:c r="E704" s="33" t="str">
        <x:v>Transport non régulier de passagers.</x:v>
      </x:c>
      <x:c r="F704" s="36" t="n">
        <x:v>14842</x:v>
      </x:c>
      <x:c r="G704" s="38" t="n">
        <x:v>43430</x:v>
      </x:c>
      <x:c r="H704" s="38" t="n">
        <x:v>43430</x:v>
      </x:c>
      <x:c r="I704" s="40" t="n">
        <x:v>36</x:v>
      </x:c>
      <x:c r="J704" s="33" t="str">
        <x:v>Marché</x:v>
      </x:c>
      <x:c r="K704" s="33" t="str">
        <x:v>Procédure adaptée</x:v>
      </x:c>
      <x:c r="L704" s="33" t="str">
        <x:v>Révisable</x:v>
      </x:c>
      <x:c r="M704" s="33" t="str">
        <x:v>(64) Pyrénées-Atlantiques</x:v>
      </x:c>
      <x:c r="N704" s="33" t="str">
        <x:v>Oui</x:v>
      </x:c>
      <x:c r="O704" s="33" t="str">
        <x:v>data.gouv.fr_aife</x:v>
      </x:c>
      <x:c r="P704" s="33" t="str">
        <x:v>2018150913618500</x:v>
      </x:c>
    </x:row>
    <x:row r="705">
      <x:c r="A705" s="33" t="str">
        <x:v>2018150910251700</x:v>
      </x:c>
      <x:c r="B705" s="33" t="str">
        <x:v>MINARM / SGA / SID / ESID Metz - Etablissement du service d'infrastructure de la défense de Metz - ESID Metz</x:v>
      </x:c>
      <x:c r="C705" s="33" t="str">
        <x:v>CONSTRUCTION GENERALE PHALSBOURGEOISE</x:v>
      </x:c>
      <x:c r="D705" s="33" t="str">
        <x:v>DRACHENBRONN (67 Bas-Rhin) - EAR 901 - Redéploiement de l'EAR Phase II - Réhabilitation du bâtiment 006 - - Démolition, Maçonnerie, Carrelage</x:v>
      </x:c>
      <x:c r="E705" s="33" t="str">
        <x:v>Travaux de maçonnerie.</x:v>
      </x:c>
      <x:c r="F705" s="36" t="n">
        <x:v>104973</x:v>
      </x:c>
      <x:c r="G705" s="38" t="n">
        <x:v>43431</x:v>
      </x:c>
      <x:c r="H705" s="38" t="n">
        <x:v>43431</x:v>
      </x:c>
      <x:c r="I705" s="40" t="n">
        <x:v>9</x:v>
      </x:c>
      <x:c r="J705" s="33" t="str">
        <x:v>Marché</x:v>
      </x:c>
      <x:c r="K705" s="33" t="str">
        <x:v>Appel d'offres ouvert</x:v>
      </x:c>
      <x:c r="L705" s="33" t="str">
        <x:v>Ferme et actualisable</x:v>
      </x:c>
      <x:c r="M705" s="33" t="str">
        <x:v>(67) Bas-Rhin</x:v>
      </x:c>
      <x:c r="N705" s="33" t="str">
        <x:v>Oui</x:v>
      </x:c>
      <x:c r="O705" s="33" t="str">
        <x:v>data.gouv.fr_aife</x:v>
      </x:c>
      <x:c r="P705" s="33" t="str">
        <x:v>2018150910251700</x:v>
      </x:c>
    </x:row>
    <x:row r="706">
      <x:c r="A706" s="33" t="str">
        <x:v>2018150914409200</x:v>
      </x:c>
      <x:c r="B706" s="33" t="str">
        <x:v>MINARM / SGA / SID / ESID Metz - Etablissement du service d'infrastructure de la défense de Metz - ESID Metz</x:v>
      </x:c>
      <x:c r="C706" s="33" t="str">
        <x:v>INEO HAUTS DE FRANCE</x:v>
      </x:c>
      <x:c r="D706" s="33" t="str">
        <x:v>DOUAI (59) quartier Corbineau Bât 0046 Désamiantage et réfection locaux - Electricité</x:v>
      </x:c>
      <x:c r="E706" s="33" t="str">
        <x:v>Travaux d'installations électriques.</x:v>
      </x:c>
      <x:c r="F706" s="36" t="n">
        <x:v>131107</x:v>
      </x:c>
      <x:c r="G706" s="38" t="n">
        <x:v>43431</x:v>
      </x:c>
      <x:c r="H706" s="38" t="n">
        <x:v>43431</x:v>
      </x:c>
      <x:c r="I706" s="40" t="n">
        <x:v>10</x:v>
      </x:c>
      <x:c r="J706" s="33" t="str">
        <x:v>Marché</x:v>
      </x:c>
      <x:c r="K706" s="33" t="str">
        <x:v>Appel d'offres ouvert</x:v>
      </x:c>
      <x:c r="L706" s="33" t="str">
        <x:v>Ferme et actualisable</x:v>
      </x:c>
      <x:c r="M706" s="33" t="str">
        <x:v>(59) Nord</x:v>
      </x:c>
      <x:c r="N706" s="33" t="str">
        <x:v>Oui</x:v>
      </x:c>
      <x:c r="O706" s="33" t="str">
        <x:v>data.gouv.fr_aife</x:v>
      </x:c>
      <x:c r="P706" s="33" t="str">
        <x:v>2018150914409200</x:v>
      </x:c>
    </x:row>
    <x:row r="707">
      <x:c r="A707" s="33" t="str">
        <x:v>2018130013932700</x:v>
      </x:c>
      <x:c r="B707" s="33" t="str">
        <x:v>"MINARM / SCA / PFC RBT / CIEC - Centre interarmées du soutien équipements commissariat"""""</x:v>
      </x:c>
      <x:c r="C707" s="33" t="str">
        <x:v>MANUFACTURE ALSACIENNE DENREES ALIMENT</x:v>
      </x:c>
      <x:c r="D707" s="33" t="str">
        <x:v>POTAGES INSTANTANES EN DOSES INDIVIDUELLES - Potage individuel instantané minestronne</x:v>
      </x:c>
      <x:c r="E707" s="33" t="str">
        <x:v>Soupes instantanées.</x:v>
      </x:c>
      <x:c r="F707" s="36" t="n">
        <x:v>102000</x:v>
      </x:c>
      <x:c r="G707" s="38" t="n">
        <x:v>43431</x:v>
      </x:c>
      <x:c r="H707" s="38" t="n">
        <x:v>43431</x:v>
      </x:c>
      <x:c r="I707" s="40" t="n">
        <x:v>48</x:v>
      </x:c>
      <x:c r="J707" s="33" t="str">
        <x:v>Accord-cadre</x:v>
      </x:c>
      <x:c r="K707" s="33" t="str">
        <x:v>Appel d'offres ouvert</x:v>
      </x:c>
      <x:c r="L707" s="33" t="str">
        <x:v>Révisable</x:v>
      </x:c>
      <x:c r="M707" s="33" t="str">
        <x:v>(49) Maine-et-Loire</x:v>
      </x:c>
      <x:c r="N707" s="33" t="str">
        <x:v>Oui</x:v>
      </x:c>
      <x:c r="O707" s="33" t="str">
        <x:v>data.gouv.fr_aife</x:v>
      </x:c>
      <x:c r="P707" s="33" t="str">
        <x:v>2018130013932700</x:v>
      </x:c>
    </x:row>
    <x:row r="708">
      <x:c r="A708" s="33" t="str">
        <x:v>20182018F5014700</x:v>
      </x:c>
      <x:c r="B708" s="33" t="str">
        <x:v>MINARM / ESTM / EPA / ONAC - Office National des Anciens Combattants et victimes de guerre</x:v>
      </x:c>
      <x:c r="C708" s="33" t="str">
        <x:v>PILLAUD p�pini�re</x:v>
      </x:c>
      <x:c r="D708" s="33" t="str">
        <x:v>Fourniture et livraison de végétaux - Régions Provence Alpes Côte d'Azur et Auvergne Rhône Alpes</x:v>
      </x:c>
      <x:c r="E708" s="33" t="str"/>
      <x:c r="F708" s="36" t="n">
        <x:v>23257</x:v>
      </x:c>
      <x:c r="G708" s="38" t="n">
        <x:v>43431</x:v>
      </x:c>
      <x:c r="H708" s="38" t="n">
        <x:v>43431</x:v>
      </x:c>
      <x:c r="I708" s="40" t="n">
        <x:v>36</x:v>
      </x:c>
      <x:c r="J708" s="33" t="str">
        <x:v>Accord-cadre</x:v>
      </x:c>
      <x:c r="K708" s="33" t="str">
        <x:v>Appel d'offres ouvert</x:v>
      </x:c>
      <x:c r="L708" s="33" t="str">
        <x:v>Révisable</x:v>
      </x:c>
      <x:c r="M708" s="33" t="str">
        <x:v>(55) Meuse</x:v>
      </x:c>
      <x:c r="N708" s="33" t="str">
        <x:v>Oui</x:v>
      </x:c>
      <x:c r="O708" s="33" t="str">
        <x:v>data.gouv.fr_aife</x:v>
      </x:c>
      <x:c r="P708" s="33" t="str">
        <x:v>20182018F5014700</x:v>
      </x:c>
    </x:row>
    <x:row r="709">
      <x:c r="A709" s="33" t="str">
        <x:v>2018150910248000</x:v>
      </x:c>
      <x:c r="B709" s="33" t="str">
        <x:v>MINARM / SGA / SID / ESID Metz - Etablissement du service d'infrastructure de la défense de Metz - ESID Metz</x:v>
      </x:c>
      <x:c r="C709" s="33" t="str">
        <x:v>CHARPENTE MENUISERIE HALLER</x:v>
      </x:c>
      <x:c r="D709" s="33" t="str">
        <x:v>DRACHENBRONN (67 Bas-Rhin) - EAR 901 - Redéploiement de l'EAR Phase II - Réhabilitation du bâtiment 006 - - Menuiserie</x:v>
      </x:c>
      <x:c r="E709" s="33" t="str">
        <x:v>Travaux de menuiserie.</x:v>
      </x:c>
      <x:c r="F709" s="36" t="n">
        <x:v>46215</x:v>
      </x:c>
      <x:c r="G709" s="38" t="n">
        <x:v>43431</x:v>
      </x:c>
      <x:c r="H709" s="38" t="n">
        <x:v>43431</x:v>
      </x:c>
      <x:c r="I709" s="40" t="n">
        <x:v>9</x:v>
      </x:c>
      <x:c r="J709" s="33" t="str">
        <x:v>Marché</x:v>
      </x:c>
      <x:c r="K709" s="33" t="str">
        <x:v>Appel d'offres ouvert</x:v>
      </x:c>
      <x:c r="L709" s="33" t="str">
        <x:v>Ferme et actualisable</x:v>
      </x:c>
      <x:c r="M709" s="33" t="str">
        <x:v>(67) Bas-Rhin</x:v>
      </x:c>
      <x:c r="N709" s="33" t="str">
        <x:v>Oui</x:v>
      </x:c>
      <x:c r="O709" s="33" t="str">
        <x:v>data.gouv.fr_aife</x:v>
      </x:c>
      <x:c r="P709" s="33" t="str">
        <x:v>2018150910248000</x:v>
      </x:c>
    </x:row>
    <x:row r="710">
      <x:c r="A710" s="33" t="str">
        <x:v>2018150914409300</x:v>
      </x:c>
      <x:c r="B710" s="33" t="str">
        <x:v>MINARM / SGA / SID / ESID Metz - Etablissement du service d'infrastructure de la défense de Metz - ESID Metz</x:v>
      </x:c>
      <x:c r="C710" s="33" t="str">
        <x:v>EBTM</x:v>
      </x:c>
      <x:c r="D710" s="33" t="str">
        <x:v>DOUAI (59) quartier Corbineau Bât 0046 Désamiantage et réfection locaux - Peinture</x:v>
      </x:c>
      <x:c r="E710" s="33" t="str">
        <x:v>Travaux de peinture.</x:v>
      </x:c>
      <x:c r="F710" s="36" t="n">
        <x:v>366975</x:v>
      </x:c>
      <x:c r="G710" s="38" t="n">
        <x:v>43431</x:v>
      </x:c>
      <x:c r="H710" s="38" t="n">
        <x:v>43431</x:v>
      </x:c>
      <x:c r="I710" s="40" t="n">
        <x:v>10</x:v>
      </x:c>
      <x:c r="J710" s="33" t="str">
        <x:v>Marché</x:v>
      </x:c>
      <x:c r="K710" s="33" t="str">
        <x:v>Appel d'offres ouvert</x:v>
      </x:c>
      <x:c r="L710" s="33" t="str">
        <x:v>Ferme et actualisable</x:v>
      </x:c>
      <x:c r="M710" s="33" t="str">
        <x:v>(59) Nord</x:v>
      </x:c>
      <x:c r="N710" s="33" t="str">
        <x:v>Oui</x:v>
      </x:c>
      <x:c r="O710" s="33" t="str">
        <x:v>data.gouv.fr_aife</x:v>
      </x:c>
      <x:c r="P710" s="33" t="str">
        <x:v>2018150914409300</x:v>
      </x:c>
    </x:row>
    <x:row r="711">
      <x:c r="A711" s="33" t="str">
        <x:v>2018150913636100</x:v>
      </x:c>
      <x:c r="B711" s="33" t="str">
        <x:v>MINARM / SCA / PFC Sud - Plate-forme commissariat Sud (Toulon)</x:v>
      </x:c>
      <x:c r="C711" s="33" t="str">
        <x:v>DIDALAB</x:v>
      </x:c>
      <x:c r="D711" s="33" t="str">
        <x:v>Acquisition et livraison de platines redresseurs et de platines hacheurs/onduleurs au profit du Pôle Ecoles Méditerranée de Saint Mandrier (2 lots) - Acquisition et livraison de 6 platines hacheurs/onduleurs au profit du PEM Saint Mandrier</x:v>
      </x:c>
      <x:c r="E711" s="33" t="str">
        <x:v>Équipement électronique.</x:v>
      </x:c>
      <x:c r="F711" s="36" t="n">
        <x:v>29241</x:v>
      </x:c>
      <x:c r="G711" s="38" t="n">
        <x:v>43431</x:v>
      </x:c>
      <x:c r="H711" s="38" t="n">
        <x:v>43431</x:v>
      </x:c>
      <x:c r="I711" s="40" t="n">
        <x:v>12</x:v>
      </x:c>
      <x:c r="J711" s="33" t="str">
        <x:v>Marché</x:v>
      </x:c>
      <x:c r="K711" s="33" t="str">
        <x:v>Appel d'offres ouvert</x:v>
      </x:c>
      <x:c r="L711" s="33" t="str">
        <x:v>Ferme</x:v>
      </x:c>
      <x:c r="M711" s="33" t="str">
        <x:v>(83) Var</x:v>
      </x:c>
      <x:c r="N711" s="33" t="str">
        <x:v>Oui</x:v>
      </x:c>
      <x:c r="O711" s="33" t="str">
        <x:v>data.gouv.fr_aife</x:v>
      </x:c>
      <x:c r="P711" s="33" t="str">
        <x:v>2018150913636100</x:v>
      </x:c>
    </x:row>
    <x:row r="712">
      <x:c r="A712" s="33" t="str">
        <x:v>2018130013928500</x:v>
      </x:c>
      <x:c r="B712" s="33" t="str">
        <x:v>"MINARM / SCA / PFC RBT / CIEC - Centre interarmées du soutien équipements commissariat"""""</x:v>
      </x:c>
      <x:c r="C712" s="33" t="str">
        <x:v>MANUFACTURE ALSACIENNE DENREES ALIMENT</x:v>
      </x:c>
      <x:c r="D712" s="33" t="str">
        <x:v>POTAGES INSTANTANES EN DOSES INDIVIDUELLES - Potage individuel instantané poireaux PDT</x:v>
      </x:c>
      <x:c r="E712" s="33" t="str">
        <x:v>Soupes instantanées.</x:v>
      </x:c>
      <x:c r="F712" s="36" t="n">
        <x:v>858000</x:v>
      </x:c>
      <x:c r="G712" s="38" t="n">
        <x:v>43431</x:v>
      </x:c>
      <x:c r="H712" s="38" t="n">
        <x:v>43431</x:v>
      </x:c>
      <x:c r="I712" s="40" t="n">
        <x:v>48</x:v>
      </x:c>
      <x:c r="J712" s="33" t="str">
        <x:v>Accord-cadre</x:v>
      </x:c>
      <x:c r="K712" s="33" t="str">
        <x:v>Appel d'offres ouvert</x:v>
      </x:c>
      <x:c r="L712" s="33" t="str">
        <x:v>Révisable</x:v>
      </x:c>
      <x:c r="M712" s="33" t="str">
        <x:v>(49) Maine-et-Loire</x:v>
      </x:c>
      <x:c r="N712" s="33" t="str">
        <x:v>Oui</x:v>
      </x:c>
      <x:c r="O712" s="33" t="str">
        <x:v>data.gouv.fr_aife</x:v>
      </x:c>
      <x:c r="P712" s="33" t="str">
        <x:v>2018130013928500</x:v>
      </x:c>
    </x:row>
    <x:row r="713">
      <x:c r="A713" s="33" t="str">
        <x:v>2018130013932600</x:v>
      </x:c>
      <x:c r="B713" s="33" t="str">
        <x:v>"MINARM / SCA / PFC RBT / CIEC - Centre interarmées du soutien équipements commissariat"""""</x:v>
      </x:c>
      <x:c r="C713" s="33" t="str">
        <x:v>MANUFACTURE ALSACIENNE DENREES ALIMENT</x:v>
      </x:c>
      <x:c r="D713" s="33" t="str">
        <x:v>POTAGES INSTANTANES EN DOSES INDIVIDUELLES - Potage individuel instantané volaille</x:v>
      </x:c>
      <x:c r="E713" s="33" t="str">
        <x:v>Soupes instantanées.</x:v>
      </x:c>
      <x:c r="F713" s="36" t="n">
        <x:v>74400</x:v>
      </x:c>
      <x:c r="G713" s="38" t="n">
        <x:v>43431</x:v>
      </x:c>
      <x:c r="H713" s="38" t="n">
        <x:v>43431</x:v>
      </x:c>
      <x:c r="I713" s="40" t="n">
        <x:v>48</x:v>
      </x:c>
      <x:c r="J713" s="33" t="str">
        <x:v>Accord-cadre</x:v>
      </x:c>
      <x:c r="K713" s="33" t="str">
        <x:v>Appel d'offres ouvert</x:v>
      </x:c>
      <x:c r="L713" s="33" t="str">
        <x:v>Révisable</x:v>
      </x:c>
      <x:c r="M713" s="33" t="str">
        <x:v>(49) Maine-et-Loire</x:v>
      </x:c>
      <x:c r="N713" s="33" t="str">
        <x:v>Oui</x:v>
      </x:c>
      <x:c r="O713" s="33" t="str">
        <x:v>data.gouv.fr_aife</x:v>
      </x:c>
      <x:c r="P713" s="33" t="str">
        <x:v>2018130013932600</x:v>
      </x:c>
    </x:row>
    <x:row r="714">
      <x:c r="A714" s="33" t="str">
        <x:v>2018130013967000</x:v>
      </x:c>
      <x:c r="B714" s="33" t="str">
        <x:v>MINARM / SSF / DSSF Brest - Direction du service de soutien de la flotte de Brest - DSSF Brest</x:v>
      </x:c>
      <x:c r="C714" s="33" t="str">
        <x:v>TRIPARTITE</x:v>
      </x:c>
      <x:c r="D714" s="33" t="str">
        <x:v>Approvisionnement de plaques de gravure pour les bâtiments, les unités de soutien de métropole et d'outre mer de la marine nationale (livraison métropole).</x:v>
      </x:c>
      <x:c r="E714" s="33" t="str">
        <x:v>Matériel de gravure sèche.</x:v>
      </x:c>
      <x:c r="F714" s="36" t="n">
        <x:v>250000</x:v>
      </x:c>
      <x:c r="G714" s="38" t="n">
        <x:v>43431</x:v>
      </x:c>
      <x:c r="H714" s="38" t="n">
        <x:v>43431</x:v>
      </x:c>
      <x:c r="I714" s="40" t="n">
        <x:v>48</x:v>
      </x:c>
      <x:c r="J714" s="33" t="str">
        <x:v>Accord-cadre</x:v>
      </x:c>
      <x:c r="K714" s="33" t="str">
        <x:v>Appel d'offres restreint</x:v>
      </x:c>
      <x:c r="L714" s="33" t="str">
        <x:v>Révisable</x:v>
      </x:c>
      <x:c r="M714" s="33" t="str">
        <x:v>(29) Finistère</x:v>
      </x:c>
      <x:c r="N714" s="33" t="str">
        <x:v>Oui</x:v>
      </x:c>
      <x:c r="O714" s="33" t="str">
        <x:v>data.gouv.fr_aife</x:v>
      </x:c>
      <x:c r="P714" s="33" t="str">
        <x:v>2018130013967000</x:v>
      </x:c>
    </x:row>
    <x:row r="715">
      <x:c r="A715" s="33" t="str">
        <x:v>2018100013200700</x:v>
      </x:c>
      <x:c r="B715" s="33" t="str">
        <x:v>MINARM / SSF / DSSF Toulon - Direction du service de soutien de la flotte de Toulon - DSSF Toulon</x:v>
      </x:c>
      <x:c r="C715" s="33" t="str">
        <x:v>LOGNAV-CM</x:v>
      </x:c>
      <x:c r="D715" s="33" t="str">
        <x:v>Accord cadre N° 2016M16T20024 relatif à la fourniture de rechanges de joints d’étanchéité divers pour les besoins nécessaires au maintien en condition opérationnelle des Eléments de la Force Maritime. -</x:v>
      </x:c>
      <x:c r="E715" s="33" t="str">
        <x:v>Pièces pour navires de guerre.</x:v>
      </x:c>
      <x:c r="F715" s="36" t="n">
        <x:v>8897</x:v>
      </x:c>
      <x:c r="G715" s="38" t="n">
        <x:v>43431</x:v>
      </x:c>
      <x:c r="H715" s="38" t="n">
        <x:v>43431</x:v>
      </x:c>
      <x:c r="I715" s="40" t="n">
        <x:v>8</x:v>
      </x:c>
      <x:c r="J715" s="33" t="str">
        <x:v>Marché subséquent</x:v>
      </x:c>
      <x:c r="K715" s="33" t="str">
        <x:v>Appel d'offres ouvert</x:v>
      </x:c>
      <x:c r="L715" s="33" t="str">
        <x:v>Ferme et actualisable</x:v>
      </x:c>
      <x:c r="M715" s="33" t="str">
        <x:v>(83) Var</x:v>
      </x:c>
      <x:c r="N715" s="33" t="str">
        <x:v>Oui</x:v>
      </x:c>
      <x:c r="O715" s="33" t="str">
        <x:v>data.gouv.fr_aife</x:v>
      </x:c>
      <x:c r="P715" s="33" t="str">
        <x:v>2018100013200700</x:v>
      </x:c>
    </x:row>
    <x:row r="716">
      <x:c r="A716" s="33" t="str">
        <x:v>2018100013146500</x:v>
      </x:c>
      <x:c r="B716" s="33" t="str">
        <x:v>MINARM / SGA / SID / DID FdF - Direction d'infrastructure de la défense de Fort de France - DID Fort de France</x:v>
      </x:c>
      <x:c r="C716" s="33" t="str">
        <x:v>CARAIB MOTER</x:v>
      </x:c>
      <x:c r="D716" s="33" t="str">
        <x:v>Projet n°18/009 A 18/010 - Martinique (972) - Fort-de-France - Fort Saint-Louis - Base navale - Construction et mise à leau dun ras débordoir de 20 X 5 m et de 3 corps morts. - Construction et mise à leau de 3 corps morts</x:v>
      </x:c>
      <x:c r="E716" s="33" t="str">
        <x:v>Travaux de construction d'appontements.</x:v>
      </x:c>
      <x:c r="F716" s="36" t="n">
        <x:v>30528</x:v>
      </x:c>
      <x:c r="G716" s="38" t="n">
        <x:v>43431</x:v>
      </x:c>
      <x:c r="H716" s="38" t="n">
        <x:v>43431</x:v>
      </x:c>
      <x:c r="I716" s="40" t="n">
        <x:v>6</x:v>
      </x:c>
      <x:c r="J716" s="33" t="str">
        <x:v>Marché</x:v>
      </x:c>
      <x:c r="K716" s="33" t="str">
        <x:v>Procédure adaptée</x:v>
      </x:c>
      <x:c r="L716" s="33" t="str">
        <x:v>Révisable</x:v>
      </x:c>
      <x:c r="M716" s="33" t="str">
        <x:v>(972) Martinique</x:v>
      </x:c>
      <x:c r="N716" s="33" t="str">
        <x:v>Oui</x:v>
      </x:c>
      <x:c r="O716" s="33" t="str">
        <x:v>data.gouv.fr_aife</x:v>
      </x:c>
      <x:c r="P716" s="33" t="str">
        <x:v>2018100013146500</x:v>
      </x:c>
    </x:row>
    <x:row r="717">
      <x:c r="A717" s="33" t="str">
        <x:v>2018150910263500</x:v>
      </x:c>
      <x:c r="B717" s="33" t="str">
        <x:v>MINARM / SGA / SID / ESID Metz - Etablissement du service d'infrastructure de la défense de Metz - ESID Metz</x:v>
      </x:c>
      <x:c r="C717" s="33" t="str">
        <x:v>HITTIER &amp; FILS</x:v>
      </x:c>
      <x:c r="D717" s="33" t="str">
        <x:v>DRACHENBRONN (67 Bas-Rhin) - EAR 901 - Redéploiement de l'EAR Phase II - Réhabilitation du bâtiment 006 - - Peinture, Faux plafond, Revêtements de sol souples Nettoyage</x:v>
      </x:c>
      <x:c r="E717" s="33" t="str">
        <x:v>Travaux de pose de revêtement de sols et de murs et pose de papiers peints.</x:v>
      </x:c>
      <x:c r="F717" s="36" t="n">
        <x:v>89579</x:v>
      </x:c>
      <x:c r="G717" s="38" t="n">
        <x:v>43431</x:v>
      </x:c>
      <x:c r="H717" s="38" t="n">
        <x:v>43431</x:v>
      </x:c>
      <x:c r="I717" s="40" t="n">
        <x:v>9</x:v>
      </x:c>
      <x:c r="J717" s="33" t="str">
        <x:v>Marché</x:v>
      </x:c>
      <x:c r="K717" s="33" t="str">
        <x:v>Appel d'offres ouvert</x:v>
      </x:c>
      <x:c r="L717" s="33" t="str">
        <x:v>Ferme et actualisable</x:v>
      </x:c>
      <x:c r="M717" s="33" t="str">
        <x:v>(67) Bas-Rhin</x:v>
      </x:c>
      <x:c r="N717" s="33" t="str">
        <x:v>Oui</x:v>
      </x:c>
      <x:c r="O717" s="33" t="str">
        <x:v>data.gouv.fr_aife</x:v>
      </x:c>
      <x:c r="P717" s="33" t="str">
        <x:v>2018150910263500</x:v>
      </x:c>
    </x:row>
    <x:row r="718">
      <x:c r="A718" s="33" t="str">
        <x:v>2018150910267500</x:v>
      </x:c>
      <x:c r="B718" s="33" t="str">
        <x:v>MINARM / SGA / SID / ESID Metz - Etablissement du service d'infrastructure de la défense de Metz - ESID Metz</x:v>
      </x:c>
      <x:c r="C718" s="33" t="str">
        <x:v>KRESS TECHNIQUES DES FLUIDES ET DES ENERGIES ET KRESS TFE</x:v>
      </x:c>
      <x:c r="D718" s="33" t="str">
        <x:v>DRACHENBRONN (67 Bas-Rhin) - EAR 901 - Redéploiement de l'EAR Phase II - Réhabilitation du bâtiment 006 - - chauffage</x:v>
      </x:c>
      <x:c r="E718" s="33" t="str">
        <x:v>Travaux d'installation de chauffage central.</x:v>
      </x:c>
      <x:c r="F718" s="36" t="n">
        <x:v>34716</x:v>
      </x:c>
      <x:c r="G718" s="38" t="n">
        <x:v>43431</x:v>
      </x:c>
      <x:c r="H718" s="38" t="n">
        <x:v>43431</x:v>
      </x:c>
      <x:c r="I718" s="40" t="n">
        <x:v>9</x:v>
      </x:c>
      <x:c r="J718" s="33" t="str">
        <x:v>Marché</x:v>
      </x:c>
      <x:c r="K718" s="33" t="str">
        <x:v>Appel d'offres ouvert</x:v>
      </x:c>
      <x:c r="L718" s="33" t="str">
        <x:v>Ferme et actualisable</x:v>
      </x:c>
      <x:c r="M718" s="33" t="str">
        <x:v>(67) Bas-Rhin</x:v>
      </x:c>
      <x:c r="N718" s="33" t="str">
        <x:v>Oui</x:v>
      </x:c>
      <x:c r="O718" s="33" t="str">
        <x:v>data.gouv.fr_aife</x:v>
      </x:c>
      <x:c r="P718" s="33" t="str">
        <x:v>2018150910267500</x:v>
      </x:c>
    </x:row>
    <x:row r="719">
      <x:c r="A719" s="33" t="str">
        <x:v>20182018S8004400</x:v>
      </x:c>
      <x:c r="B719" s="33" t="str">
        <x:v>MINARM / ESTM / EPA / SHOM - Service hydrographique et océanographique de la Marine</x:v>
      </x:c>
      <x:c r="C719" s="33" t="str">
        <x:v>Nansen Environmental and Remote Sensing Center</x:v>
      </x:c>
      <x:c r="D719" s="33" t="str">
        <x:v>Modélisation de la glace de mer dans les zones marginales de glace de l'océan arctique</x:v>
      </x:c>
      <x:c r="E719" s="33" t="str">
        <x:v>Études techniques.</x:v>
      </x:c>
      <x:c r="F719" s="36" t="n">
        <x:v>352000</x:v>
      </x:c>
      <x:c r="G719" s="38" t="n">
        <x:v>43431</x:v>
      </x:c>
      <x:c r="H719" s="38" t="n">
        <x:v>43431</x:v>
      </x:c>
      <x:c r="I719" s="40" t="n">
        <x:v>30</x:v>
      </x:c>
      <x:c r="J719" s="33" t="str">
        <x:v>Marché</x:v>
      </x:c>
      <x:c r="K719" s="33" t="str">
        <x:v>Appel d'offres ouvert</x:v>
      </x:c>
      <x:c r="L719" s="33" t="str">
        <x:v>Ferme</x:v>
      </x:c>
      <x:c r="M719" s="33" t="str">
        <x:v>(29) Finistère</x:v>
      </x:c>
      <x:c r="N719" s="33" t="str">
        <x:v>Oui</x:v>
      </x:c>
      <x:c r="O719" s="33" t="str">
        <x:v>data.gouv.fr_aife</x:v>
      </x:c>
      <x:c r="P719" s="33" t="str">
        <x:v>20182018S8004400</x:v>
      </x:c>
    </x:row>
    <x:row r="720">
      <x:c r="A720" s="33" t="str">
        <x:v>2018130013932800</x:v>
      </x:c>
      <x:c r="B720" s="33" t="str">
        <x:v>"MINARM / SCA / PFC RBT / CIEC - Centre interarmées du soutien équipements commissariat"""""</x:v>
      </x:c>
      <x:c r="C720" s="33" t="str">
        <x:v>MANUFACTURE ALSACIENNE DENREES ALIMENT</x:v>
      </x:c>
      <x:c r="D720" s="33" t="str">
        <x:v>POTAGES INSTANTANES EN DOSES INDIVIDUELLES - Potage individuel instantané créole</x:v>
      </x:c>
      <x:c r="E720" s="33" t="str">
        <x:v>Soupes instantanées.</x:v>
      </x:c>
      <x:c r="F720" s="36" t="n">
        <x:v>102000</x:v>
      </x:c>
      <x:c r="G720" s="38" t="n">
        <x:v>43431</x:v>
      </x:c>
      <x:c r="H720" s="38" t="n">
        <x:v>43431</x:v>
      </x:c>
      <x:c r="I720" s="40" t="n">
        <x:v>48</x:v>
      </x:c>
      <x:c r="J720" s="33" t="str">
        <x:v>Accord-cadre</x:v>
      </x:c>
      <x:c r="K720" s="33" t="str">
        <x:v>Appel d'offres ouvert</x:v>
      </x:c>
      <x:c r="L720" s="33" t="str">
        <x:v>Révisable</x:v>
      </x:c>
      <x:c r="M720" s="33" t="str">
        <x:v>(49) Maine-et-Loire</x:v>
      </x:c>
      <x:c r="N720" s="33" t="str">
        <x:v>Oui</x:v>
      </x:c>
      <x:c r="O720" s="33" t="str">
        <x:v>data.gouv.fr_aife</x:v>
      </x:c>
      <x:c r="P720" s="33" t="str">
        <x:v>2018130013932800</x:v>
      </x:c>
    </x:row>
    <x:row r="721">
      <x:c r="A721" s="33" t="str">
        <x:v>20182018F0006700</x:v>
      </x:c>
      <x:c r="B721" s="33" t="str">
        <x:v>MINARM / ESTM / EPA / ONAC - Office National des Anciens Combattants et victimes de guerre</x:v>
      </x:c>
      <x:c r="C721" s="33" t="str">
        <x:v>CHOLAT PEPINIERE</x:v>
      </x:c>
      <x:c r="D721" s="33" t="str">
        <x:v>Fourniture et livraison de végétaux - Région Grand Est</x:v>
      </x:c>
      <x:c r="E721" s="33" t="str"/>
      <x:c r="F721" s="36" t="n">
        <x:v>38765</x:v>
      </x:c>
      <x:c r="G721" s="38" t="n">
        <x:v>43431</x:v>
      </x:c>
      <x:c r="H721" s="38" t="n">
        <x:v>43431</x:v>
      </x:c>
      <x:c r="I721" s="40" t="n">
        <x:v>26</x:v>
      </x:c>
      <x:c r="J721" s="33" t="str">
        <x:v>Accord-cadre</x:v>
      </x:c>
      <x:c r="K721" s="33" t="str">
        <x:v>Appel d'offres ouvert</x:v>
      </x:c>
      <x:c r="L721" s="33" t="str">
        <x:v>Révisable</x:v>
      </x:c>
      <x:c r="M721" s="33" t="str">
        <x:v>(55) Meuse</x:v>
      </x:c>
      <x:c r="N721" s="33" t="str">
        <x:v>Oui</x:v>
      </x:c>
      <x:c r="O721" s="33" t="str">
        <x:v>data.gouv.fr_aife</x:v>
      </x:c>
      <x:c r="P721" s="33" t="str">
        <x:v>20182018F0006700</x:v>
      </x:c>
    </x:row>
    <x:row r="722">
      <x:c r="A722" s="33" t="str">
        <x:v>20182018F0006800</x:v>
      </x:c>
      <x:c r="B722" s="33" t="str">
        <x:v>MINARM / ESTM / EPA / ONAC - Office National des Anciens Combattants et victimes de guerre</x:v>
      </x:c>
      <x:c r="C722" s="33" t="str">
        <x:v>CHOLAT PEPINIERE</x:v>
      </x:c>
      <x:c r="D722" s="33" t="str">
        <x:v>Fourniture et livraison de végétaux - Région Hauts de France</x:v>
      </x:c>
      <x:c r="E722" s="33" t="str"/>
      <x:c r="F722" s="36" t="n">
        <x:v>38765</x:v>
      </x:c>
      <x:c r="G722" s="38" t="n">
        <x:v>43431</x:v>
      </x:c>
      <x:c r="H722" s="38" t="n">
        <x:v>43431</x:v>
      </x:c>
      <x:c r="I722" s="40" t="n">
        <x:v>36</x:v>
      </x:c>
      <x:c r="J722" s="33" t="str">
        <x:v>Accord-cadre</x:v>
      </x:c>
      <x:c r="K722" s="33" t="str">
        <x:v>Appel d'offres ouvert</x:v>
      </x:c>
      <x:c r="L722" s="33" t="str">
        <x:v>Révisable</x:v>
      </x:c>
      <x:c r="M722" s="33" t="str">
        <x:v>(55) Meuse</x:v>
      </x:c>
      <x:c r="N722" s="33" t="str">
        <x:v>Oui</x:v>
      </x:c>
      <x:c r="O722" s="33" t="str">
        <x:v>data.gouv.fr_aife</x:v>
      </x:c>
      <x:c r="P722" s="33" t="str">
        <x:v>20182018F0006800</x:v>
      </x:c>
    </x:row>
    <x:row r="723">
      <x:c r="A723" s="33" t="str">
        <x:v>2018150910270200</x:v>
      </x:c>
      <x:c r="B723" s="33" t="str">
        <x:v>MINARM / SGA / SID / ESID Metz - Etablissement du service d'infrastructure de la défense de Metz - ESID Metz</x:v>
      </x:c>
      <x:c r="C723" s="33" t="str">
        <x:v>SOCIETE ALSACIENNE D'ETANCHEITE ET DE DESAMIANTAGE</x:v>
      </x:c>
      <x:c r="D723" s="33" t="str">
        <x:v>DRACHENBRONN (67 Bas-Rhin) - EAR 901 - Redéploiement de l'EAR Phase II - Réhabilitation du bâtiment 006 - - Isolation</x:v>
      </x:c>
      <x:c r="E723" s="33" t="str">
        <x:v>Travaux de bardage.</x:v>
      </x:c>
      <x:c r="F723" s="36" t="n">
        <x:v>110085</x:v>
      </x:c>
      <x:c r="G723" s="38" t="n">
        <x:v>43431</x:v>
      </x:c>
      <x:c r="H723" s="38" t="n">
        <x:v>43431</x:v>
      </x:c>
      <x:c r="I723" s="40" t="n">
        <x:v>9</x:v>
      </x:c>
      <x:c r="J723" s="33" t="str">
        <x:v>Marché</x:v>
      </x:c>
      <x:c r="K723" s="33" t="str">
        <x:v>Appel d'offres ouvert</x:v>
      </x:c>
      <x:c r="L723" s="33" t="str">
        <x:v>Ferme et actualisable</x:v>
      </x:c>
      <x:c r="M723" s="33" t="str">
        <x:v>(67) Bas-Rhin</x:v>
      </x:c>
      <x:c r="N723" s="33" t="str">
        <x:v>Oui</x:v>
      </x:c>
      <x:c r="O723" s="33" t="str">
        <x:v>data.gouv.fr_aife</x:v>
      </x:c>
      <x:c r="P723" s="33" t="str">
        <x:v>2018150910270200</x:v>
      </x:c>
    </x:row>
    <x:row r="724">
      <x:c r="A724" s="33" t="str">
        <x:v>2018150910270300</x:v>
      </x:c>
      <x:c r="B724" s="33" t="str">
        <x:v>MINARM / SGA / SID / ESID Metz - Etablissement du service d'infrastructure de la défense de Metz - ESID Metz</x:v>
      </x:c>
      <x:c r="C724" s="33" t="str">
        <x:v>KRESS TECHNIQUES DES FLUIDES ET DES ENERGIES ET KRESS TFE</x:v>
      </x:c>
      <x:c r="D724" s="33" t="str">
        <x:v>DRACHENBRONN (67 Bas-Rhin) - EAR 901 - Redéploiement de l'EAR Phase II - Réhabilitation du bâtiment 006 - - Plomberie, sanitaire</x:v>
      </x:c>
      <x:c r="E724" s="33" t="str">
        <x:v>Travaux de plomberie et de pose de conduits d'évacuation.</x:v>
      </x:c>
      <x:c r="F724" s="36" t="n">
        <x:v>27487</x:v>
      </x:c>
      <x:c r="G724" s="38" t="n">
        <x:v>43431</x:v>
      </x:c>
      <x:c r="H724" s="38" t="n">
        <x:v>43431</x:v>
      </x:c>
      <x:c r="I724" s="40" t="n">
        <x:v>9</x:v>
      </x:c>
      <x:c r="J724" s="33" t="str">
        <x:v>Marché</x:v>
      </x:c>
      <x:c r="K724" s="33" t="str">
        <x:v>Appel d'offres ouvert</x:v>
      </x:c>
      <x:c r="L724" s="33" t="str">
        <x:v>Ferme et actualisable</x:v>
      </x:c>
      <x:c r="M724" s="33" t="str">
        <x:v>(67) Bas-Rhin</x:v>
      </x:c>
      <x:c r="N724" s="33" t="str">
        <x:v>Oui</x:v>
      </x:c>
      <x:c r="O724" s="33" t="str">
        <x:v>data.gouv.fr_aife</x:v>
      </x:c>
      <x:c r="P724" s="33" t="str">
        <x:v>2018150910270300</x:v>
      </x:c>
    </x:row>
    <x:row r="725">
      <x:c r="A725" s="33" t="str">
        <x:v>2018150913613700</x:v>
      </x:c>
      <x:c r="B725" s="33" t="str">
        <x:v>MINARM / SCA / PFC Sud - Plate-forme commissariat Sud (Toulon)</x:v>
      </x:c>
      <x:c r="C725" s="33" t="str">
        <x:v>DIDALAB</x:v>
      </x:c>
      <x:c r="D725" s="33" t="str">
        <x:v>Acquisition et livraison de platines redresseurs et de platines hacheurs/onduleurs au profit du Pôle Ecoles Méditerranée de Saint Mandrier (2 lots) - Acquisition et livraison de 6 platines onduleurs au profit du PEM Saint Mandrier</x:v>
      </x:c>
      <x:c r="E725" s="33" t="str">
        <x:v>Équipement électronique.</x:v>
      </x:c>
      <x:c r="F725" s="36" t="n">
        <x:v>26617</x:v>
      </x:c>
      <x:c r="G725" s="38" t="n">
        <x:v>43431</x:v>
      </x:c>
      <x:c r="H725" s="38" t="n">
        <x:v>43431</x:v>
      </x:c>
      <x:c r="I725" s="40" t="n">
        <x:v>12</x:v>
      </x:c>
      <x:c r="J725" s="33" t="str">
        <x:v>Marché</x:v>
      </x:c>
      <x:c r="K725" s="33" t="str">
        <x:v>Appel d'offres ouvert</x:v>
      </x:c>
      <x:c r="L725" s="33" t="str">
        <x:v>Ferme</x:v>
      </x:c>
      <x:c r="M725" s="33" t="str">
        <x:v>(83) Var</x:v>
      </x:c>
      <x:c r="N725" s="33" t="str">
        <x:v>Oui</x:v>
      </x:c>
      <x:c r="O725" s="33" t="str">
        <x:v>data.gouv.fr_aife</x:v>
      </x:c>
      <x:c r="P725" s="33" t="str">
        <x:v>2018150913613700</x:v>
      </x:c>
    </x:row>
    <x:row r="726">
      <x:c r="A726" s="33" t="str">
        <x:v>2018130013927400</x:v>
      </x:c>
      <x:c r="B726" s="33" t="str">
        <x:v>"MINARM / SCA / PFC RBT / CIEC - Centre interarmées du soutien équipements commissariat"""""</x:v>
      </x:c>
      <x:c r="C726" s="33" t="str">
        <x:v>MANUFACTURE ALSACIENNE DENREES ALIMENT</x:v>
      </x:c>
      <x:c r="D726" s="33" t="str">
        <x:v>POTAGES INSTANTANES EN DOSES INDIVIDUELLES - Potage individuel instantané asiatique</x:v>
      </x:c>
      <x:c r="E726" s="33" t="str">
        <x:v>Soupes instantanées.</x:v>
      </x:c>
      <x:c r="F726" s="36" t="n">
        <x:v>85800</x:v>
      </x:c>
      <x:c r="G726" s="38" t="n">
        <x:v>43431</x:v>
      </x:c>
      <x:c r="H726" s="38" t="n">
        <x:v>43431</x:v>
      </x:c>
      <x:c r="I726" s="40" t="n">
        <x:v>48</x:v>
      </x:c>
      <x:c r="J726" s="33" t="str">
        <x:v>Accord-cadre</x:v>
      </x:c>
      <x:c r="K726" s="33" t="str">
        <x:v>Appel d'offres ouvert</x:v>
      </x:c>
      <x:c r="L726" s="33" t="str">
        <x:v>Révisable</x:v>
      </x:c>
      <x:c r="M726" s="33" t="str">
        <x:v>(49) Maine-et-Loire</x:v>
      </x:c>
      <x:c r="N726" s="33" t="str">
        <x:v>Oui</x:v>
      </x:c>
      <x:c r="O726" s="33" t="str">
        <x:v>data.gouv.fr_aife</x:v>
      </x:c>
      <x:c r="P726" s="33" t="str">
        <x:v>2018130013927400</x:v>
      </x:c>
    </x:row>
    <x:row r="727">
      <x:c r="A727" s="33" t="str">
        <x:v>2018100013210300</x:v>
      </x:c>
      <x:c r="B727" s="33" t="str">
        <x:v>MINARM / SSF / DSSF Brest - Direction du service de soutien de la flotte de Brest - DSSF Brest</x:v>
      </x:c>
      <x:c r="C727" s="33" t="str">
        <x:v>LOGNAV-CM</x:v>
      </x:c>
      <x:c r="D727" s="33" t="str">
        <x:v>Fourniture de composants électriques et d'éclairage de marques diverses ou équivalents destinés aux bâtiments et unités à terre de la marine nationale</x:v>
      </x:c>
      <x:c r="E727" s="33" t="str">
        <x:v>Machines, appareils, équipements et consommables électriques ; éclairage.</x:v>
      </x:c>
      <x:c r="F727" s="36" t="n">
        <x:v>2192</x:v>
      </x:c>
      <x:c r="G727" s="38" t="n">
        <x:v>43431</x:v>
      </x:c>
      <x:c r="H727" s="38" t="n">
        <x:v>43431</x:v>
      </x:c>
      <x:c r="I727" s="40" t="n">
        <x:v>2</x:v>
      </x:c>
      <x:c r="J727" s="33" t="str">
        <x:v>Marché subséquent</x:v>
      </x:c>
      <x:c r="K727" s="33" t="str"/>
      <x:c r="L727" s="33" t="str">
        <x:v>Ferme</x:v>
      </x:c>
      <x:c r="M727" s="33" t="str">
        <x:v>(29) Finistère</x:v>
      </x:c>
      <x:c r="N727" s="33" t="str">
        <x:v>Oui</x:v>
      </x:c>
      <x:c r="O727" s="33" t="str">
        <x:v>data.gouv.fr_aife</x:v>
      </x:c>
      <x:c r="P727" s="33" t="str">
        <x:v>2018100013210300</x:v>
      </x:c>
    </x:row>
    <x:row r="728">
      <x:c r="A728" s="33" t="str">
        <x:v>2018100013181300</x:v>
      </x:c>
      <x:c r="B728" s="33" t="str">
        <x:v>MINARM / SSF / DSSF Toulon - Direction du service de soutien de la flotte de Toulon - DSSF Toulon</x:v>
      </x:c>
      <x:c r="C728" s="33" t="str">
        <x:v>AART ELECTRONICS</x:v>
      </x:c>
      <x:c r="D728" s="33" t="str">
        <x:v>Accord-Cadre M16T20 010 relatif à l’approvisionnement de matériels électriques et électroniques pour le maintien en condition opérationnelle des Éléments de Force Maritime</x:v>
      </x:c>
      <x:c r="E728" s="33" t="str">
        <x:v>Pièces électroniques et électriques de rechange pour navires de guerre.</x:v>
      </x:c>
      <x:c r="F728" s="36" t="n">
        <x:v>10324</x:v>
      </x:c>
      <x:c r="G728" s="38" t="n">
        <x:v>43431</x:v>
      </x:c>
      <x:c r="H728" s="38" t="n">
        <x:v>43431</x:v>
      </x:c>
      <x:c r="I728" s="40" t="n">
        <x:v>3</x:v>
      </x:c>
      <x:c r="J728" s="33" t="str">
        <x:v>Marché subséquent</x:v>
      </x:c>
      <x:c r="K728" s="33" t="str">
        <x:v>Appel d'offres ouvert</x:v>
      </x:c>
      <x:c r="L728" s="33" t="str">
        <x:v>Ferme et actualisable</x:v>
      </x:c>
      <x:c r="M728" s="33" t="str">
        <x:v>(83) Var</x:v>
      </x:c>
      <x:c r="N728" s="33" t="str">
        <x:v>Oui</x:v>
      </x:c>
      <x:c r="O728" s="33" t="str">
        <x:v>data.gouv.fr_aife</x:v>
      </x:c>
      <x:c r="P728" s="33" t="str">
        <x:v>2018100013181300</x:v>
      </x:c>
    </x:row>
    <x:row r="729">
      <x:c r="A729" s="33" t="str">
        <x:v>20182018F5014600</x:v>
      </x:c>
      <x:c r="B729" s="33" t="str">
        <x:v>MINARM / ESTM / EPA / ONAC - Office National des Anciens Combattants et victimes de guerre</x:v>
      </x:c>
      <x:c r="C729" s="33" t="str">
        <x:v>CHAUVIRE DIFFUSION</x:v>
      </x:c>
      <x:c r="D729" s="33" t="str">
        <x:v>Fourniture et livraison de végétaux - Région Nouvelle Aquitaine</x:v>
      </x:c>
      <x:c r="E729" s="33" t="str"/>
      <x:c r="F729" s="36" t="n">
        <x:v>40781</x:v>
      </x:c>
      <x:c r="G729" s="38" t="n">
        <x:v>43431</x:v>
      </x:c>
      <x:c r="H729" s="38" t="n">
        <x:v>43431</x:v>
      </x:c>
      <x:c r="I729" s="40" t="n">
        <x:v>36</x:v>
      </x:c>
      <x:c r="J729" s="33" t="str">
        <x:v>Accord-cadre</x:v>
      </x:c>
      <x:c r="K729" s="33" t="str">
        <x:v>Appel d'offres ouvert</x:v>
      </x:c>
      <x:c r="L729" s="33" t="str">
        <x:v>Révisable</x:v>
      </x:c>
      <x:c r="M729" s="33" t="str">
        <x:v>(55) Meuse</x:v>
      </x:c>
      <x:c r="N729" s="33" t="str">
        <x:v>Oui</x:v>
      </x:c>
      <x:c r="O729" s="33" t="str">
        <x:v>data.gouv.fr_aife</x:v>
      </x:c>
      <x:c r="P729" s="33" t="str">
        <x:v>20182018F5014600</x:v>
      </x:c>
    </x:row>
    <x:row r="730">
      <x:c r="A730" s="33" t="str">
        <x:v>2018150913252500</x:v>
      </x:c>
      <x:c r="B730" s="33" t="str">
        <x:v>MINARM / SGA / SID / ESID Rennes - Etablissement du service d'infrastructure de la défense de Rennes - ESID Rennes</x:v>
      </x:c>
      <x:c r="C730" s="33" t="str">
        <x:v>NOX INGENIERIE</x:v>
      </x:c>
      <x:c r="D730" s="33" t="str">
        <x:v>SAINT AUBIN DU CORMIER (35) – Caserne Général Lemonnier – 11è RAMA - - Mise aux normes de l’ensemble des réseaux – Remise à niveau de la station d’épuration et du château d’eau. - Réalisation d'un schéma directeur simplifié des installa</x:v>
      </x:c>
      <x:c r="E730" s="33" t="str">
        <x:v>Services de conseil en rendement énergétique.</x:v>
      </x:c>
      <x:c r="F730" s="36" t="n">
        <x:v>28300</x:v>
      </x:c>
      <x:c r="G730" s="38" t="n">
        <x:v>43431</x:v>
      </x:c>
      <x:c r="H730" s="38" t="n">
        <x:v>43431</x:v>
      </x:c>
      <x:c r="I730" s="40" t="n">
        <x:v>3</x:v>
      </x:c>
      <x:c r="J730" s="33" t="str">
        <x:v>Marché</x:v>
      </x:c>
      <x:c r="K730" s="33" t="str">
        <x:v>Appel d'offres ouvert</x:v>
      </x:c>
      <x:c r="L730" s="33" t="str">
        <x:v>Ferme</x:v>
      </x:c>
      <x:c r="M730" s="33" t="str">
        <x:v>(35) Ille-et-Vilaine</x:v>
      </x:c>
      <x:c r="N730" s="33" t="str">
        <x:v>Oui</x:v>
      </x:c>
      <x:c r="O730" s="33" t="str">
        <x:v>data.gouv.fr_aife</x:v>
      </x:c>
      <x:c r="P730" s="33" t="str">
        <x:v>2018150913252500</x:v>
      </x:c>
    </x:row>
    <x:row r="731">
      <x:c r="A731" s="33" t="str">
        <x:v>2018150914423100</x:v>
      </x:c>
      <x:c r="B731" s="33" t="str">
        <x:v>MINARM / SGA / SID / ESID IDF - Etablissement du Service d'infrastructure de la défense d'Ile de France - ESID Ile de France</x:v>
      </x:c>
      <x:c r="C731" s="33" t="str">
        <x:v>CHAPELLE &amp; CIE</x:v>
      </x:c>
      <x:c r="D731" s="33" t="str">
        <x:v>L'opération consiste à réaliser : - - un bâtiment modulaire de bureaux de trois niveaux permettant d'accueillir successivement plusieurs services sur une durée comprise entre 15 et 20 ans ; - - aménager une pièce du bâtiment 0005 en local informatique</x:v>
      </x:c>
      <x:c r="E731" s="33" t="str">
        <x:v>Travaux de restructuration.</x:v>
      </x:c>
      <x:c r="F731" s="36" t="n">
        <x:v>219422</x:v>
      </x:c>
      <x:c r="G731" s="38" t="n">
        <x:v>43431</x:v>
      </x:c>
      <x:c r="H731" s="38" t="n">
        <x:v>43431</x:v>
      </x:c>
      <x:c r="I731" s="40" t="n">
        <x:v>5</x:v>
      </x:c>
      <x:c r="J731" s="33" t="str">
        <x:v>Marché</x:v>
      </x:c>
      <x:c r="K731" s="33" t="str">
        <x:v>Procédure adaptée</x:v>
      </x:c>
      <x:c r="L731" s="33" t="str">
        <x:v>Ferme et actualisable</x:v>
      </x:c>
      <x:c r="M731" s="33" t="str">
        <x:v>(60) Oise</x:v>
      </x:c>
      <x:c r="N731" s="33" t="str">
        <x:v>Oui</x:v>
      </x:c>
      <x:c r="O731" s="33" t="str">
        <x:v>data.gouv.fr_aife</x:v>
      </x:c>
      <x:c r="P731" s="33" t="str">
        <x:v>2018150914423100</x:v>
      </x:c>
    </x:row>
    <x:row r="732">
      <x:c r="A732" s="33" t="str">
        <x:v>2018150910266100</x:v>
      </x:c>
      <x:c r="B732" s="33" t="str">
        <x:v>MINARM / SGA / SID / ESID Metz - Etablissement du service d'infrastructure de la défense de Metz - ESID Metz</x:v>
      </x:c>
      <x:c r="C732" s="33" t="str">
        <x:v>SANTERNE ALSACE</x:v>
      </x:c>
      <x:c r="D732" s="33" t="str">
        <x:v>DRACHENBRONN (67 Bas-Rhin) - EAR 901 - Redéploiement de l'EAR Phase II - Réhabilitation du bâtiment 006 - - Electricité, courants faibles</x:v>
      </x:c>
      <x:c r="E732" s="33" t="str">
        <x:v>Travaux d'installations électriques.</x:v>
      </x:c>
      <x:c r="F732" s="36" t="n">
        <x:v>87800</x:v>
      </x:c>
      <x:c r="G732" s="38" t="n">
        <x:v>43431</x:v>
      </x:c>
      <x:c r="H732" s="38" t="n">
        <x:v>43431</x:v>
      </x:c>
      <x:c r="I732" s="40" t="n">
        <x:v>9</x:v>
      </x:c>
      <x:c r="J732" s="33" t="str">
        <x:v>Marché</x:v>
      </x:c>
      <x:c r="K732" s="33" t="str">
        <x:v>Appel d'offres ouvert</x:v>
      </x:c>
      <x:c r="L732" s="33" t="str">
        <x:v>Ferme et actualisable</x:v>
      </x:c>
      <x:c r="M732" s="33" t="str">
        <x:v>(67) Bas-Rhin</x:v>
      </x:c>
      <x:c r="N732" s="33" t="str">
        <x:v>Oui</x:v>
      </x:c>
      <x:c r="O732" s="33" t="str">
        <x:v>data.gouv.fr_aife</x:v>
      </x:c>
      <x:c r="P732" s="33" t="str">
        <x:v>2018150910266100</x:v>
      </x:c>
    </x:row>
    <x:row r="733">
      <x:c r="A733" s="33" t="str">
        <x:v>2018130013929200</x:v>
      </x:c>
      <x:c r="B733" s="33" t="str">
        <x:v>"MINARM / SCA / PFC RBT / CIEC - Centre interarmées du soutien équipements commissariat"""""</x:v>
      </x:c>
      <x:c r="C733" s="33" t="str">
        <x:v>MANUFACTURE ALSACIENNE DENREES ALIMENT</x:v>
      </x:c>
      <x:c r="D733" s="33" t="str">
        <x:v>POTAGES INSTANTANES EN DOSES INDIVIDUELLES - Potage individuel instantané champignon</x:v>
      </x:c>
      <x:c r="E733" s="33" t="str">
        <x:v>Soupes instantanées.</x:v>
      </x:c>
      <x:c r="F733" s="36" t="n">
        <x:v>744000</x:v>
      </x:c>
      <x:c r="G733" s="38" t="n">
        <x:v>43431</x:v>
      </x:c>
      <x:c r="H733" s="38" t="n">
        <x:v>43431</x:v>
      </x:c>
      <x:c r="I733" s="40" t="n">
        <x:v>48</x:v>
      </x:c>
      <x:c r="J733" s="33" t="str">
        <x:v>Accord-cadre</x:v>
      </x:c>
      <x:c r="K733" s="33" t="str">
        <x:v>Appel d'offres ouvert</x:v>
      </x:c>
      <x:c r="L733" s="33" t="str">
        <x:v>Révisable</x:v>
      </x:c>
      <x:c r="M733" s="33" t="str">
        <x:v>(49) Maine-et-Loire</x:v>
      </x:c>
      <x:c r="N733" s="33" t="str">
        <x:v>Oui</x:v>
      </x:c>
      <x:c r="O733" s="33" t="str">
        <x:v>data.gouv.fr_aife</x:v>
      </x:c>
      <x:c r="P733" s="33" t="str">
        <x:v>2018130013929200</x:v>
      </x:c>
    </x:row>
    <x:row r="734">
      <x:c r="A734" s="33" t="str">
        <x:v>20182018T8000800</x:v>
      </x:c>
      <x:c r="B734" s="33" t="str">
        <x:v>MINARM / DGA / DO / S2A / PROD / DA-IDFN - Division achats - Ile de France/Normandie</x:v>
      </x:c>
      <x:c r="C734" s="33" t="str">
        <x:v>OUEST ACRO</x:v>
      </x:c>
      <x:c r="D734" s="33" t="str">
        <x:v>Réalisation et/ou modification de protections collectives et/ou moyens d'accès aux installations techniques de DGA Essais propulseurs à Saclay (91)</x:v>
      </x:c>
      <x:c r="E734" s="33" t="str">
        <x:v>Travaux d'installation de passerelles.</x:v>
      </x:c>
      <x:c r="F734" s="36" t="n">
        <x:v>3000000</x:v>
      </x:c>
      <x:c r="G734" s="38" t="n">
        <x:v>43431</x:v>
      </x:c>
      <x:c r="H734" s="38" t="n">
        <x:v>43431</x:v>
      </x:c>
      <x:c r="I734" s="40" t="n">
        <x:v>60</x:v>
      </x:c>
      <x:c r="J734" s="33" t="str">
        <x:v>Accord-cadre</x:v>
      </x:c>
      <x:c r="K734" s="33" t="str">
        <x:v>Procédure adaptée</x:v>
      </x:c>
      <x:c r="L734" s="33" t="str"/>
      <x:c r="M734" s="33" t="str">
        <x:v>(91) Essonne</x:v>
      </x:c>
      <x:c r="N734" s="33" t="str">
        <x:v>Oui</x:v>
      </x:c>
      <x:c r="O734" s="33" t="str">
        <x:v>data.gouv.fr_aife</x:v>
      </x:c>
      <x:c r="P734" s="33" t="str">
        <x:v>20182018T8000800</x:v>
      </x:c>
    </x:row>
    <x:row r="735">
      <x:c r="A735" s="33" t="str">
        <x:v>20182018S5017200</x:v>
      </x:c>
      <x:c r="B735" s="33" t="str">
        <x:v>MINARM / ESTM / EPA / ONAC - Office National des Anciens Combattants et victimes de guerre</x:v>
      </x:c>
      <x:c r="C735" s="33" t="str">
        <x:v>LEMOINE ESPACES VERTS</x:v>
      </x:c>
      <x:c r="D735" s="33" t="str">
        <x:v>Entretien des espaces verts des nécropoles nationales et des carrés militaires - 2018015POL - Entretien des espaces verts de la nécropole nationale "Notre Dame de Lorette" à Alain St Nazaire</x:v>
      </x:c>
      <x:c r="E735" s="33" t="str">
        <x:v>Réalisation et entretien d'espaces verts.</x:v>
      </x:c>
      <x:c r="F735" s="36" t="n">
        <x:v>96980</x:v>
      </x:c>
      <x:c r="G735" s="38" t="n">
        <x:v>43431</x:v>
      </x:c>
      <x:c r="H735" s="38" t="n">
        <x:v>43431</x:v>
      </x:c>
      <x:c r="I735" s="40" t="n">
        <x:v>48</x:v>
      </x:c>
      <x:c r="J735" s="33" t="str">
        <x:v>Accord-cadre</x:v>
      </x:c>
      <x:c r="K735" s="33" t="str">
        <x:v>Appel d'offres ouvert</x:v>
      </x:c>
      <x:c r="L735" s="33" t="str">
        <x:v>Révisable</x:v>
      </x:c>
      <x:c r="M735" s="33" t="str">
        <x:v>(54) Meurthe-et-Moselle</x:v>
      </x:c>
      <x:c r="N735" s="33" t="str">
        <x:v>Oui</x:v>
      </x:c>
      <x:c r="O735" s="33" t="str">
        <x:v>data.gouv.fr_aife</x:v>
      </x:c>
      <x:c r="P735" s="33" t="str">
        <x:v>20182018S5017200</x:v>
      </x:c>
    </x:row>
    <x:row r="736">
      <x:c r="A736" s="33" t="str">
        <x:v>20182018F5002400</x:v>
      </x:c>
      <x:c r="B736" s="33" t="str">
        <x:v>MINARM / SGA / SID / ESID Toulon - Etablissement du service d'infrastructure de la défense de Toulon - ESID Toulon</x:v>
      </x:c>
      <x:c r="C736" s="33" t="str">
        <x:v>FLERS ERGONOMIE METALLERIE</x:v>
      </x:c>
      <x:c r="D736" s="33" t="str">
        <x:v>Base de défence Toulon - Fourniture de produits métallurgiques pour la régie infrastructure de l'ESID de Toulon (83)</x:v>
      </x:c>
      <x:c r="E736" s="33" t="str">
        <x:v>Ferronnerie.</x:v>
      </x:c>
      <x:c r="F736" s="36" t="n">
        <x:v>200000</x:v>
      </x:c>
      <x:c r="G736" s="38" t="n">
        <x:v>43432</x:v>
      </x:c>
      <x:c r="H736" s="38" t="n">
        <x:v>43432</x:v>
      </x:c>
      <x:c r="I736" s="40" t="n">
        <x:v>48</x:v>
      </x:c>
      <x:c r="J736" s="33" t="str">
        <x:v>Accord-cadre</x:v>
      </x:c>
      <x:c r="K736" s="33" t="str">
        <x:v>Appel d'offres ouvert</x:v>
      </x:c>
      <x:c r="L736" s="33" t="str">
        <x:v>Ferme</x:v>
      </x:c>
      <x:c r="M736" s="33" t="str">
        <x:v>(83) Var</x:v>
      </x:c>
      <x:c r="N736" s="33" t="str">
        <x:v>Oui</x:v>
      </x:c>
      <x:c r="O736" s="33" t="str">
        <x:v>data.gouv.fr_aife</x:v>
      </x:c>
      <x:c r="P736" s="33" t="str">
        <x:v>20182018F5002400</x:v>
      </x:c>
    </x:row>
    <x:row r="737">
      <x:c r="A737" s="33" t="str">
        <x:v>2018130013916000</x:v>
      </x:c>
      <x:c r="B737" s="33" t="str">
        <x:v>MINARM / SSA / DAPSA - Direction des Approvisionnements en produits de santé des armées</x:v>
      </x:c>
      <x:c r="C737" s="33" t="str">
        <x:v>BAUSCH ET LOMB FRANCE</x:v>
      </x:c>
      <x:c r="D737" s="33" t="str">
        <x:v>Prestations de maintenance des lasers chirurgicaux, médicaux, scientifiques et fournitures des pièces détachées, accessoires nécessaires au fonctionnement de lasers du Service de Santé des Armées (SSA) - Maintenance des lasers Excimer et fourniture</x:v>
      </x:c>
      <x:c r="E737" s="33" t="str">
        <x:v>Services de réparation et d'entretien de matériel médical et chirurgical.</x:v>
      </x:c>
      <x:c r="F737" s="36" t="n">
        <x:v>293000</x:v>
      </x:c>
      <x:c r="G737" s="38" t="n">
        <x:v>43432</x:v>
      </x:c>
      <x:c r="H737" s="38" t="n">
        <x:v>43432</x:v>
      </x:c>
      <x:c r="I737" s="40" t="n">
        <x:v>48</x:v>
      </x:c>
      <x:c r="J737" s="33" t="str">
        <x:v>Accord-cadre</x:v>
      </x:c>
      <x:c r="K737" s="33" t="str"/>
      <x:c r="L737" s="33" t="str">
        <x:v>Révisable</x:v>
      </x:c>
      <x:c r="M737" s="33" t="str">
        <x:v>(69) Rhône</x:v>
      </x:c>
      <x:c r="N737" s="33" t="str">
        <x:v>Oui</x:v>
      </x:c>
      <x:c r="O737" s="33" t="str">
        <x:v>data.gouv.fr_aife</x:v>
      </x:c>
      <x:c r="P737" s="33" t="str">
        <x:v>2018130013916000</x:v>
      </x:c>
    </x:row>
    <x:row r="738">
      <x:c r="A738" s="33" t="str">
        <x:v>2018130013917000</x:v>
      </x:c>
      <x:c r="B738" s="33" t="str">
        <x:v>MINARM / SSA / DAPSA - Direction des Approvisionnements en produits de santé des armées</x:v>
      </x:c>
      <x:c r="C738" s="33" t="str">
        <x:v>DORNIER MEDTECH FRANCE SARL</x:v>
      </x:c>
      <x:c r="D738" s="33" t="str">
        <x:v>Prestations de maintenance des lasers chirurgicaux, médicaux, scientifiques et fournitures des pièces détachées, accessoires nécessaires au fonctionnement de lasers du Service de Santé des Armées (SSA) - Maintenance des lasers Yag Pulse de marque D</x:v>
      </x:c>
      <x:c r="E738" s="33" t="str">
        <x:v>Services de réparation et d'entretien de matériel médical et chirurgical.</x:v>
      </x:c>
      <x:c r="F738" s="36" t="n">
        <x:v>3600</x:v>
      </x:c>
      <x:c r="G738" s="38" t="n">
        <x:v>43432</x:v>
      </x:c>
      <x:c r="H738" s="38" t="n">
        <x:v>43432</x:v>
      </x:c>
      <x:c r="I738" s="40" t="n">
        <x:v>48</x:v>
      </x:c>
      <x:c r="J738" s="33" t="str">
        <x:v>Accord-cadre</x:v>
      </x:c>
      <x:c r="K738" s="33" t="str"/>
      <x:c r="L738" s="33" t="str">
        <x:v>Révisable</x:v>
      </x:c>
      <x:c r="M738" s="33" t="str">
        <x:v>(69) Rhône</x:v>
      </x:c>
      <x:c r="N738" s="33" t="str">
        <x:v>Oui</x:v>
      </x:c>
      <x:c r="O738" s="33" t="str">
        <x:v>data.gouv.fr_aife</x:v>
      </x:c>
      <x:c r="P738" s="33" t="str">
        <x:v>2018130013917000</x:v>
      </x:c>
    </x:row>
    <x:row r="739">
      <x:c r="A739" s="33" t="str">
        <x:v>20182018T0007300</x:v>
      </x:c>
      <x:c r="B739" s="33" t="str">
        <x:v>MINARM / ESTM / EPA / ONAC - Office National des Anciens Combattants et victimes de guerre</x:v>
      </x:c>
      <x:c r="C739" s="33" t="str">
        <x:v>PLAETEVOET SPORT ET PAYSAGES</x:v>
      </x:c>
      <x:c r="D739" s="33" t="str">
        <x:v>LEFFRINCKOUCKE (59) - Rénovation de la nécropole nationale - Aménagements paysagers</x:v>
      </x:c>
      <x:c r="E739" s="33" t="str">
        <x:v>Travaux d'aménagement paysager.</x:v>
      </x:c>
      <x:c r="F739" s="36" t="n">
        <x:v>17603</x:v>
      </x:c>
      <x:c r="G739" s="38" t="n">
        <x:v>43432</x:v>
      </x:c>
      <x:c r="H739" s="38" t="n">
        <x:v>43432</x:v>
      </x:c>
      <x:c r="I739" s="40" t="n">
        <x:v>12</x:v>
      </x:c>
      <x:c r="J739" s="33" t="str">
        <x:v>Marché</x:v>
      </x:c>
      <x:c r="K739" s="33" t="str">
        <x:v>Procédure adaptée</x:v>
      </x:c>
      <x:c r="L739" s="33" t="str">
        <x:v>Ferme et actualisable</x:v>
      </x:c>
      <x:c r="M739" s="33" t="str">
        <x:v>(59) Nord</x:v>
      </x:c>
      <x:c r="N739" s="33" t="str">
        <x:v>Oui</x:v>
      </x:c>
      <x:c r="O739" s="33" t="str">
        <x:v>data.gouv.fr_aife</x:v>
      </x:c>
      <x:c r="P739" s="33" t="str">
        <x:v>20182018T0007300</x:v>
      </x:c>
    </x:row>
    <x:row r="740">
      <x:c r="A740" s="33" t="str">
        <x:v>2018150914015000</x:v>
      </x:c>
      <x:c r="B740" s="33" t="str">
        <x:v>MINARM / SGA / SID / DID Cayenne - Direction d'infrastructure de la défense de Cayenne - DID Cayenne</x:v>
      </x:c>
      <x:c r="C740" s="33" t="str">
        <x:v>EIFFAGE ENERGIE SYSTEMES - MARTINIQUE</x:v>
      </x:c>
      <x:c r="D740" s="33" t="str">
        <x:v>Le projet vise à créer une aire de lavage couverte pour l’ensemble des véhicules terrestres stationnés sur Cayenne. Il comprend également la réalisation à proximité immédiate de l’aire de lavage, de locaux pour la section ravitaillement trans</x:v>
      </x:c>
      <x:c r="E740" s="33" t="str">
        <x:v>Travaux de construction de bâtiments et d'installations militaires.</x:v>
      </x:c>
      <x:c r="F740" s="36" t="n">
        <x:v>390359</x:v>
      </x:c>
      <x:c r="G740" s="38" t="n">
        <x:v>43432</x:v>
      </x:c>
      <x:c r="H740" s="38" t="n">
        <x:v>43432</x:v>
      </x:c>
      <x:c r="I740" s="40" t="n">
        <x:v>12</x:v>
      </x:c>
      <x:c r="J740" s="33" t="str">
        <x:v>Marché</x:v>
      </x:c>
      <x:c r="K740" s="33" t="str">
        <x:v>Procédure adaptée</x:v>
      </x:c>
      <x:c r="L740" s="33" t="str">
        <x:v>Révisable</x:v>
      </x:c>
      <x:c r="M740" s="33" t="str">
        <x:v>(974) Réunion</x:v>
      </x:c>
      <x:c r="N740" s="33" t="str">
        <x:v>Oui</x:v>
      </x:c>
      <x:c r="O740" s="33" t="str">
        <x:v>data.gouv.fr_aife</x:v>
      </x:c>
      <x:c r="P740" s="33" t="str">
        <x:v>2018150914015000</x:v>
      </x:c>
    </x:row>
    <x:row r="741">
      <x:c r="A741" s="33" t="str">
        <x:v>2018170008987100</x:v>
      </x:c>
      <x:c r="B741" s="33" t="str">
        <x:v>MINARM / SCA / PFC Ouest - Plate-forme commissariat Ouest (Rennes)</x:v>
      </x:c>
      <x:c r="C741" s="33" t="str">
        <x:v>ACP FORMATION</x:v>
      </x:c>
      <x:c r="D741" s="33" t="str">
        <x:v>Réalisation de formations dans le domaine &gt; pour les agents militaires et civils du Service du Commissariat des Armées (SCA) et les Commissaires des armées affectés en dehors de ce service. - Formations finances zone Sud Est (</x:v>
      </x:c>
      <x:c r="E741" s="33" t="str">
        <x:v>Services de formation professionnelle.</x:v>
      </x:c>
      <x:c r="F741" s="36" t="n">
        <x:v>266666</x:v>
      </x:c>
      <x:c r="G741" s="38" t="n">
        <x:v>43432</x:v>
      </x:c>
      <x:c r="H741" s="38" t="n">
        <x:v>43432</x:v>
      </x:c>
      <x:c r="I741" s="40" t="n">
        <x:v>48</x:v>
      </x:c>
      <x:c r="J741" s="33" t="str">
        <x:v>Accord-cadre</x:v>
      </x:c>
      <x:c r="K741" s="33" t="str">
        <x:v>Procédure adaptée</x:v>
      </x:c>
      <x:c r="L741" s="33" t="str">
        <x:v>Révisable</x:v>
      </x:c>
      <x:c r="M741" s="33" t="str">
        <x:v>(83) Var</x:v>
      </x:c>
      <x:c r="N741" s="33" t="str">
        <x:v>Oui</x:v>
      </x:c>
      <x:c r="O741" s="33" t="str">
        <x:v>data.gouv.fr_aife</x:v>
      </x:c>
      <x:c r="P741" s="33" t="str">
        <x:v>2018170008987100</x:v>
      </x:c>
    </x:row>
    <x:row r="742">
      <x:c r="A742" s="33" t="str">
        <x:v>2018170008988200</x:v>
      </x:c>
      <x:c r="B742" s="33" t="str">
        <x:v>MINARM / SCA / PFC Ouest - Plate-forme commissariat Ouest (Rennes)</x:v>
      </x:c>
      <x:c r="C742" s="33" t="str">
        <x:v>ACP FORMATION</x:v>
      </x:c>
      <x:c r="D742" s="33" t="str">
        <x:v>Réalisation de formations dans le domaine &gt; pour les agents militaires et civils du Service du Commissariat des Armées (SCA) et les Commissaires des armées affectés en dehors de ce service. - Formations finances zone Sud-Ouest L...</x:v>
      </x:c>
      <x:c r="E742" s="33" t="str">
        <x:v>Services de formation professionnelle.</x:v>
      </x:c>
      <x:c r="F742" s="36" t="n">
        <x:v>266666</x:v>
      </x:c>
      <x:c r="G742" s="38" t="n">
        <x:v>43432</x:v>
      </x:c>
      <x:c r="H742" s="38" t="n">
        <x:v>43432</x:v>
      </x:c>
      <x:c r="I742" s="40" t="n">
        <x:v>48</x:v>
      </x:c>
      <x:c r="J742" s="33" t="str">
        <x:v>Accord-cadre</x:v>
      </x:c>
      <x:c r="K742" s="33" t="str">
        <x:v>Procédure adaptée</x:v>
      </x:c>
      <x:c r="L742" s="33" t="str">
        <x:v>Révisable</x:v>
      </x:c>
      <x:c r="M742" s="33" t="str">
        <x:v>(33) Gironde</x:v>
      </x:c>
      <x:c r="N742" s="33" t="str">
        <x:v>Oui</x:v>
      </x:c>
      <x:c r="O742" s="33" t="str">
        <x:v>data.gouv.fr_aife</x:v>
      </x:c>
      <x:c r="P742" s="33" t="str">
        <x:v>2018170008988200</x:v>
      </x:c>
    </x:row>
    <x:row r="743">
      <x:c r="A743" s="33" t="str">
        <x:v>2018100013214900</x:v>
      </x:c>
      <x:c r="B743" s="33" t="str">
        <x:v>MINARM / SSF / DSSF Toulon - Direction du service de soutien de la flotte de Toulon - DSSF Toulon</x:v>
      </x:c>
      <x:c r="C743" s="33" t="str">
        <x:v>LE LITTORAL</x:v>
      </x:c>
      <x:c r="D743" s="33" t="str">
        <x:v>Accord cadre N° 2016M16T20015 relatif à l’approvisionnement de fourniture de matériels de mesure et de contrôle nécessaires au maintien en condition opérationnelle (MCO) des Eléments de Force Maritime (EFM) et des Eléments de Force Armées (EFA)</x:v>
      </x:c>
      <x:c r="E743" s="33" t="str">
        <x:v>Pièces pour navires de guerre.</x:v>
      </x:c>
      <x:c r="F743" s="36" t="n">
        <x:v>61456</x:v>
      </x:c>
      <x:c r="G743" s="38" t="n">
        <x:v>43432</x:v>
      </x:c>
      <x:c r="H743" s="38" t="n">
        <x:v>43432</x:v>
      </x:c>
      <x:c r="I743" s="40" t="n">
        <x:v>4</x:v>
      </x:c>
      <x:c r="J743" s="33" t="str">
        <x:v>Marché subséquent</x:v>
      </x:c>
      <x:c r="K743" s="33" t="str">
        <x:v>Appel d'offres ouvert</x:v>
      </x:c>
      <x:c r="L743" s="33" t="str">
        <x:v>Ferme et actualisable</x:v>
      </x:c>
      <x:c r="M743" s="33" t="str">
        <x:v>(83) Var</x:v>
      </x:c>
      <x:c r="N743" s="33" t="str">
        <x:v>Oui</x:v>
      </x:c>
      <x:c r="O743" s="33" t="str">
        <x:v>data.gouv.fr_aife</x:v>
      </x:c>
      <x:c r="P743" s="33" t="str">
        <x:v>2018100013214900</x:v>
      </x:c>
    </x:row>
    <x:row r="744">
      <x:c r="A744" s="33" t="str">
        <x:v>2018130013915100</x:v>
      </x:c>
      <x:c r="B744" s="33" t="str">
        <x:v>MINARM / SSA / DAPSA - Direction des Approvisionnements en produits de santé des armées</x:v>
      </x:c>
      <x:c r="C744" s="33" t="str">
        <x:v>SANOTEK</x:v>
      </x:c>
      <x:c r="D744" s="33" t="str">
        <x:v>Prestations de maintenance des lasers chirurgicaux, médicaux, scientifiques et fournitures des pièces détachées, accessoires nécessaires au fonctionnement de lasers du Service de Santé des Armées (SSA) - Maintenance des lasers Oculight Slx</x:v>
      </x:c>
      <x:c r="E744" s="33" t="str">
        <x:v>Services de réparation et d'entretien de matériel médical et chirurgical.</x:v>
      </x:c>
      <x:c r="F744" s="36" t="n">
        <x:v>12500</x:v>
      </x:c>
      <x:c r="G744" s="38" t="n">
        <x:v>43432</x:v>
      </x:c>
      <x:c r="H744" s="38" t="n">
        <x:v>43432</x:v>
      </x:c>
      <x:c r="I744" s="40" t="n">
        <x:v>48</x:v>
      </x:c>
      <x:c r="J744" s="33" t="str">
        <x:v>Accord-cadre</x:v>
      </x:c>
      <x:c r="K744" s="33" t="str"/>
      <x:c r="L744" s="33" t="str">
        <x:v>Révisable</x:v>
      </x:c>
      <x:c r="M744" s="33" t="str">
        <x:v>(69) Rhône</x:v>
      </x:c>
      <x:c r="N744" s="33" t="str">
        <x:v>Oui</x:v>
      </x:c>
      <x:c r="O744" s="33" t="str">
        <x:v>data.gouv.fr_aife</x:v>
      </x:c>
      <x:c r="P744" s="33" t="str">
        <x:v>2018130013915100</x:v>
      </x:c>
    </x:row>
    <x:row r="745">
      <x:c r="A745" s="33" t="str">
        <x:v>2018130013929100</x:v>
      </x:c>
      <x:c r="B745" s="33" t="str">
        <x:v>MINARM / SSA / DAPSA - Direction des Approvisionnements en produits de santé des armées</x:v>
      </x:c>
      <x:c r="C745" s="33" t="str">
        <x:v>ROCAMED FRANCE</x:v>
      </x:c>
      <x:c r="D745" s="33" t="str">
        <x:v>Prestations de maintenance des lasers chirurgicaux, médicaux, scientifiques et fournitures des pièces détachées, accessoires nécessaires au fonctionnement de lasers du Service de Santé des Armées (SSA) - Maintenance des lasers de marque Rocamed</x:v>
      </x:c>
      <x:c r="E745" s="33" t="str">
        <x:v>Services de réparation et d'entretien de matériel médical et chirurgical.</x:v>
      </x:c>
      <x:c r="F745" s="36" t="n">
        <x:v>4000</x:v>
      </x:c>
      <x:c r="G745" s="38" t="n">
        <x:v>43432</x:v>
      </x:c>
      <x:c r="H745" s="38" t="n">
        <x:v>43432</x:v>
      </x:c>
      <x:c r="I745" s="40" t="n">
        <x:v>48</x:v>
      </x:c>
      <x:c r="J745" s="33" t="str">
        <x:v>Accord-cadre</x:v>
      </x:c>
      <x:c r="K745" s="33" t="str"/>
      <x:c r="L745" s="33" t="str">
        <x:v>Révisable</x:v>
      </x:c>
      <x:c r="M745" s="33" t="str">
        <x:v>(69) Rhône</x:v>
      </x:c>
      <x:c r="N745" s="33" t="str">
        <x:v>Oui</x:v>
      </x:c>
      <x:c r="O745" s="33" t="str">
        <x:v>data.gouv.fr_aife</x:v>
      </x:c>
      <x:c r="P745" s="33" t="str">
        <x:v>2018130013929100</x:v>
      </x:c>
    </x:row>
    <x:row r="746">
      <x:c r="A746" s="33" t="str">
        <x:v>2018150913254000</x:v>
      </x:c>
      <x:c r="B746" s="33" t="str">
        <x:v>MINARM / SGA / SID / ESID Metz - Etablissement du service d'infrastructure de la défense de Metz - ESID Metz</x:v>
      </x:c>
      <x:c r="C746" s="33" t="str">
        <x:v>SOCIETE ALSACIENNE D'ETANCHEITE ET DE DESAMIANTAGE</x:v>
      </x:c>
      <x:c r="D746" s="33" t="str">
        <x:v>2018-USID02-18S/863 HAGUENAU (BAS-RHIN) - Quartier Estienne-Bâtiment 0014-Remplacement complet de la toiture</x:v>
      </x:c>
      <x:c r="E746" s="33" t="str">
        <x:v>Travaux d'isolation de toiture.</x:v>
      </x:c>
      <x:c r="F746" s="36" t="n">
        <x:v>64012</x:v>
      </x:c>
      <x:c r="G746" s="38" t="n">
        <x:v>43432</x:v>
      </x:c>
      <x:c r="H746" s="38" t="n">
        <x:v>43432</x:v>
      </x:c>
      <x:c r="I746" s="40" t="n">
        <x:v>3</x:v>
      </x:c>
      <x:c r="J746" s="33" t="str">
        <x:v>Marché</x:v>
      </x:c>
      <x:c r="K746" s="33" t="str">
        <x:v>Appel d'offres ouvert</x:v>
      </x:c>
      <x:c r="L746" s="33" t="str">
        <x:v>Ferme et actualisable</x:v>
      </x:c>
      <x:c r="M746" s="33" t="str">
        <x:v>(67) Bas-Rhin</x:v>
      </x:c>
      <x:c r="N746" s="33" t="str">
        <x:v>Oui</x:v>
      </x:c>
      <x:c r="O746" s="33" t="str">
        <x:v>data.gouv.fr_aife</x:v>
      </x:c>
      <x:c r="P746" s="33" t="str">
        <x:v>2018150913254000</x:v>
      </x:c>
    </x:row>
    <x:row r="747">
      <x:c r="A747" s="33" t="str">
        <x:v>2018150912802700</x:v>
      </x:c>
      <x:c r="B747" s="33" t="str">
        <x:v>MINARM / SCA / PFC Sud-Est - Plate-forme commissariat Sud-Est (Lyon)</x:v>
      </x:c>
      <x:c r="C747" s="33" t="str">
        <x:v>MENATEX SA</x:v>
      </x:c>
      <x:c r="D747" s="33" t="str">
        <x:v>La fourniture de matériels de vidéo, de son et d'image au profit du Ministère des Armées. - Matériel pour de la prise de vue</x:v>
      </x:c>
      <x:c r="E747" s="33" t="str">
        <x:v>Matériel de télévision et matériel audiovisuel.</x:v>
      </x:c>
      <x:c r="F747" s="36" t="n">
        <x:v>22451</x:v>
      </x:c>
      <x:c r="G747" s="38" t="n">
        <x:v>43432</x:v>
      </x:c>
      <x:c r="H747" s="38" t="n">
        <x:v>43432</x:v>
      </x:c>
      <x:c r="I747" s="40" t="n">
        <x:v>12</x:v>
      </x:c>
      <x:c r="J747" s="33" t="str">
        <x:v>Marché</x:v>
      </x:c>
      <x:c r="K747" s="33" t="str">
        <x:v>Procédure adaptée</x:v>
      </x:c>
      <x:c r="L747" s="33" t="str">
        <x:v>Ferme</x:v>
      </x:c>
      <x:c r="M747" s="33" t="str">
        <x:v>(69) Rhône</x:v>
      </x:c>
      <x:c r="N747" s="33" t="str">
        <x:v>Oui</x:v>
      </x:c>
      <x:c r="O747" s="33" t="str">
        <x:v>data.gouv.fr_aife</x:v>
      </x:c>
      <x:c r="P747" s="33" t="str">
        <x:v>2018150912802700</x:v>
      </x:c>
    </x:row>
    <x:row r="748">
      <x:c r="A748" s="33" t="str">
        <x:v>2018150913618600</x:v>
      </x:c>
      <x:c r="B748" s="33" t="str">
        <x:v>MINARM / SCA / PFC Sud-Est - Plate-forme commissariat Sud-Est (Lyon)</x:v>
      </x:c>
      <x:c r="C748" s="33" t="str">
        <x:v>NET RAM</x:v>
      </x:c>
      <x:c r="D748" s="33" t="str">
        <x:v>La fourniture d’un ensemble de vidéo projection</x:v>
      </x:c>
      <x:c r="E748" s="33" t="str">
        <x:v>Vidéoprojecteurs.</x:v>
      </x:c>
      <x:c r="F748" s="36" t="n">
        <x:v>27118</x:v>
      </x:c>
      <x:c r="G748" s="38" t="n">
        <x:v>43432</x:v>
      </x:c>
      <x:c r="H748" s="38" t="n">
        <x:v>43432</x:v>
      </x:c>
      <x:c r="I748" s="40" t="n">
        <x:v>12</x:v>
      </x:c>
      <x:c r="J748" s="33" t="str">
        <x:v>Marché</x:v>
      </x:c>
      <x:c r="K748" s="33" t="str"/>
      <x:c r="L748" s="33" t="str">
        <x:v>Ferme</x:v>
      </x:c>
      <x:c r="M748" s="33" t="str">
        <x:v>(69) Rhône</x:v>
      </x:c>
      <x:c r="N748" s="33" t="str">
        <x:v>Oui</x:v>
      </x:c>
      <x:c r="O748" s="33" t="str">
        <x:v>data.gouv.fr_aife</x:v>
      </x:c>
      <x:c r="P748" s="33" t="str">
        <x:v>2018150913618600</x:v>
      </x:c>
    </x:row>
    <x:row r="749">
      <x:c r="A749" s="33" t="str">
        <x:v>2018100013200300</x:v>
      </x:c>
      <x:c r="B749" s="33" t="str">
        <x:v>MINARM / SSF / DSSF Toulon - Direction du service de soutien de la flotte de Toulon - DSSF Toulon</x:v>
      </x:c>
      <x:c r="C749" s="33" t="str">
        <x:v>F.P.M.</x:v>
      </x:c>
      <x:c r="D749" s="33" t="str">
        <x:v>Accord cadre N° 2016M16T20 003 relatif à la fourniture de matériels de quincaillerie et d'outillage naval. -</x:v>
      </x:c>
      <x:c r="E749" s="33" t="str">
        <x:v>Quincaillerie.</x:v>
      </x:c>
      <x:c r="F749" s="36" t="n">
        <x:v>17644</x:v>
      </x:c>
      <x:c r="G749" s="38" t="n">
        <x:v>43432</x:v>
      </x:c>
      <x:c r="H749" s="38" t="n">
        <x:v>43432</x:v>
      </x:c>
      <x:c r="I749" s="40" t="n">
        <x:v>3</x:v>
      </x:c>
      <x:c r="J749" s="33" t="str">
        <x:v>Marché subséquent</x:v>
      </x:c>
      <x:c r="K749" s="33" t="str">
        <x:v>Appel d'offres ouvert</x:v>
      </x:c>
      <x:c r="L749" s="33" t="str">
        <x:v>Ferme et actualisable</x:v>
      </x:c>
      <x:c r="M749" s="33" t="str">
        <x:v>(83) Var</x:v>
      </x:c>
      <x:c r="N749" s="33" t="str">
        <x:v>Oui</x:v>
      </x:c>
      <x:c r="O749" s="33" t="str">
        <x:v>data.gouv.fr_aife</x:v>
      </x:c>
      <x:c r="P749" s="33" t="str">
        <x:v>2018100013200300</x:v>
      </x:c>
    </x:row>
    <x:row r="750">
      <x:c r="A750" s="33" t="str">
        <x:v>2018130013915200</x:v>
      </x:c>
      <x:c r="B750" s="33" t="str">
        <x:v>MINARM / SSA / DAPSA - Direction des Approvisionnements en produits de santé des armées</x:v>
      </x:c>
      <x:c r="C750" s="33" t="str">
        <x:v>QUANTEL MEDICAL</x:v>
      </x:c>
      <x:c r="D750" s="33" t="str">
        <x:v>Prestations de maintenance des lasers chirurgicaux, médicaux, scientifiques et fournitures des pièces détachées, accessoires nécessaires au fonctionnement de lasers du Service de Santé des Armées (SSA) - Maintenance des lasers de marque Quantel mé</x:v>
      </x:c>
      <x:c r="E750" s="33" t="str">
        <x:v>Services de réparation et d'entretien de matériel médical et chirurgical.</x:v>
      </x:c>
      <x:c r="F750" s="36" t="n">
        <x:v>16988</x:v>
      </x:c>
      <x:c r="G750" s="38" t="n">
        <x:v>43432</x:v>
      </x:c>
      <x:c r="H750" s="38" t="n">
        <x:v>43432</x:v>
      </x:c>
      <x:c r="I750" s="40" t="n">
        <x:v>48</x:v>
      </x:c>
      <x:c r="J750" s="33" t="str">
        <x:v>Accord-cadre</x:v>
      </x:c>
      <x:c r="K750" s="33" t="str"/>
      <x:c r="L750" s="33" t="str">
        <x:v>Révisable</x:v>
      </x:c>
      <x:c r="M750" s="33" t="str">
        <x:v>(69) Rhône</x:v>
      </x:c>
      <x:c r="N750" s="33" t="str">
        <x:v>Oui</x:v>
      </x:c>
      <x:c r="O750" s="33" t="str">
        <x:v>data.gouv.fr_aife</x:v>
      </x:c>
      <x:c r="P750" s="33" t="str">
        <x:v>2018130013915200</x:v>
      </x:c>
    </x:row>
    <x:row r="751">
      <x:c r="A751" s="33" t="str">
        <x:v>2018130013909100</x:v>
      </x:c>
      <x:c r="B751" s="33" t="str">
        <x:v>MINARM / SSA / DAPSA - Direction des Approvisionnements en produits de santé des armées</x:v>
      </x:c>
      <x:c r="C751" s="33" t="str">
        <x:v>CARL ZEISS MEDITEC FRANCE</x:v>
      </x:c>
      <x:c r="D751" s="33" t="str">
        <x:v>Prestations de maintenance des lasers chirurgicaux, médicaux, scientifiques et fournitures des pièces détachées, accessoires nécessaires au fonctionnement de lasers du Service de Santé des Armées (SSA) - Maintenance des lasers Visulas</x:v>
      </x:c>
      <x:c r="E751" s="33" t="str">
        <x:v>Services de réparation et d'entretien de matériel médical et chirurgical.</x:v>
      </x:c>
      <x:c r="F751" s="36" t="n">
        <x:v>5292</x:v>
      </x:c>
      <x:c r="G751" s="38" t="n">
        <x:v>43432</x:v>
      </x:c>
      <x:c r="H751" s="38" t="n">
        <x:v>43432</x:v>
      </x:c>
      <x:c r="I751" s="40" t="n">
        <x:v>48</x:v>
      </x:c>
      <x:c r="J751" s="33" t="str">
        <x:v>Accord-cadre</x:v>
      </x:c>
      <x:c r="K751" s="33" t="str"/>
      <x:c r="L751" s="33" t="str">
        <x:v>Révisable</x:v>
      </x:c>
      <x:c r="M751" s="33" t="str">
        <x:v>(69) Rhône</x:v>
      </x:c>
      <x:c r="N751" s="33" t="str">
        <x:v>Oui</x:v>
      </x:c>
      <x:c r="O751" s="33" t="str">
        <x:v>data.gouv.fr_aife</x:v>
      </x:c>
      <x:c r="P751" s="33" t="str">
        <x:v>2018130013909100</x:v>
      </x:c>
    </x:row>
    <x:row r="752">
      <x:c r="A752" s="33" t="str">
        <x:v>2018130013912200</x:v>
      </x:c>
      <x:c r="B752" s="33" t="str">
        <x:v>MINARM / SSA / DAPSA - Direction des Approvisionnements en produits de santé des armées</x:v>
      </x:c>
      <x:c r="C752" s="33" t="str">
        <x:v>BERNAS MEDICAL</x:v>
      </x:c>
      <x:c r="D752" s="33" t="str">
        <x:v>Prestations de maintenance des lasers chirurgicaux, médicaux, scientifiques et fournitures des pièces détachées, accessoires nécessaires au fonctionnement de lasers du Service de Santé des Armées (SSA) - Maintenance des lasers CO2 de marque Dornier</x:v>
      </x:c>
      <x:c r="E752" s="33" t="str">
        <x:v>Services de réparation et d'entretien de matériel médical et chirurgical.</x:v>
      </x:c>
      <x:c r="F752" s="36" t="n">
        <x:v>52668</x:v>
      </x:c>
      <x:c r="G752" s="38" t="n">
        <x:v>43432</x:v>
      </x:c>
      <x:c r="H752" s="38" t="n">
        <x:v>43432</x:v>
      </x:c>
      <x:c r="I752" s="40" t="n">
        <x:v>48</x:v>
      </x:c>
      <x:c r="J752" s="33" t="str">
        <x:v>Accord-cadre</x:v>
      </x:c>
      <x:c r="K752" s="33" t="str"/>
      <x:c r="L752" s="33" t="str">
        <x:v>Révisable</x:v>
      </x:c>
      <x:c r="M752" s="33" t="str">
        <x:v>(69) Rhône</x:v>
      </x:c>
      <x:c r="N752" s="33" t="str">
        <x:v>Oui</x:v>
      </x:c>
      <x:c r="O752" s="33" t="str">
        <x:v>data.gouv.fr_aife</x:v>
      </x:c>
      <x:c r="P752" s="33" t="str">
        <x:v>2018130013912200</x:v>
      </x:c>
    </x:row>
    <x:row r="753">
      <x:c r="A753" s="33" t="str">
        <x:v>20182018T0007200</x:v>
      </x:c>
      <x:c r="B753" s="33" t="str">
        <x:v>MINARM / ESTM / EPA / ONAC - Office National des Anciens Combattants et victimes de guerre</x:v>
      </x:c>
      <x:c r="C753" s="33" t="str">
        <x:v>EIFFAGE GENIE CIVIL</x:v>
      </x:c>
      <x:c r="D753" s="33" t="str">
        <x:v>LEFFRINCKOUCKE (59) - Rénovation de la nécropole nationale - Génie civil</x:v>
      </x:c>
      <x:c r="E753" s="33" t="str">
        <x:v>Travaux de gros œuvre en béton.</x:v>
      </x:c>
      <x:c r="F753" s="36" t="n">
        <x:v>118179</x:v>
      </x:c>
      <x:c r="G753" s="38" t="n">
        <x:v>43432</x:v>
      </x:c>
      <x:c r="H753" s="38" t="n">
        <x:v>43432</x:v>
      </x:c>
      <x:c r="I753" s="40" t="n">
        <x:v>7</x:v>
      </x:c>
      <x:c r="J753" s="33" t="str">
        <x:v>Marché</x:v>
      </x:c>
      <x:c r="K753" s="33" t="str">
        <x:v>Procédure adaptée</x:v>
      </x:c>
      <x:c r="L753" s="33" t="str">
        <x:v>Ferme et actualisable</x:v>
      </x:c>
      <x:c r="M753" s="33" t="str">
        <x:v>(59) Nord</x:v>
      </x:c>
      <x:c r="N753" s="33" t="str">
        <x:v>Oui</x:v>
      </x:c>
      <x:c r="O753" s="33" t="str">
        <x:v>data.gouv.fr_aife</x:v>
      </x:c>
      <x:c r="P753" s="33" t="str">
        <x:v>20182018T0007200</x:v>
      </x:c>
    </x:row>
    <x:row r="754">
      <x:c r="A754" s="33" t="str">
        <x:v>2018150914422900</x:v>
      </x:c>
      <x:c r="B754" s="33" t="str">
        <x:v>MINARM / SGA / SID / ESID Metz - Etablissement du service d'infrastructure de la défense de Metz - ESID Metz</x:v>
      </x:c>
      <x:c r="C754" s="33" t="str">
        <x:v>GRIM</x:v>
      </x:c>
      <x:c r="D754" s="33" t="str">
        <x:v>DOUAI (59) quartier Corbineau Bât 0046 Désamiantage et réfection locaux - Désamiantage</x:v>
      </x:c>
      <x:c r="E754" s="33" t="str">
        <x:v>Travaux de désamiantage.</x:v>
      </x:c>
      <x:c r="F754" s="36" t="n">
        <x:v>119680</x:v>
      </x:c>
      <x:c r="G754" s="38" t="n">
        <x:v>43432</x:v>
      </x:c>
      <x:c r="H754" s="38" t="n">
        <x:v>43432</x:v>
      </x:c>
      <x:c r="I754" s="40" t="n">
        <x:v>10</x:v>
      </x:c>
      <x:c r="J754" s="33" t="str">
        <x:v>Marché</x:v>
      </x:c>
      <x:c r="K754" s="33" t="str">
        <x:v>Appel d'offres ouvert</x:v>
      </x:c>
      <x:c r="L754" s="33" t="str">
        <x:v>Ferme et actualisable</x:v>
      </x:c>
      <x:c r="M754" s="33" t="str">
        <x:v>(59) Nord</x:v>
      </x:c>
      <x:c r="N754" s="33" t="str">
        <x:v>Oui</x:v>
      </x:c>
      <x:c r="O754" s="33" t="str">
        <x:v>data.gouv.fr_aife</x:v>
      </x:c>
      <x:c r="P754" s="33" t="str">
        <x:v>2018150914422900</x:v>
      </x:c>
    </x:row>
    <x:row r="755">
      <x:c r="A755" s="33" t="str">
        <x:v>2018170008986300</x:v>
      </x:c>
      <x:c r="B755" s="33" t="str">
        <x:v>MINARM / SCA / PFC Ouest - Plate-forme commissariat Ouest (Rennes)</x:v>
      </x:c>
      <x:c r="C755" s="33" t="str">
        <x:v>ACP FORMATION</x:v>
      </x:c>
      <x:c r="D755" s="33" t="str">
        <x:v>Réalisation de formations dans le domaine &gt; pour les agents militaires et civils du Service du Commissariat des Armées (SCA) et les Commissaires des armées affectés en dehors de ce service. - Formations finances zone Centre Oues...</x:v>
      </x:c>
      <x:c r="E755" s="33" t="str">
        <x:v>Services de formation professionnelle.</x:v>
      </x:c>
      <x:c r="F755" s="36" t="n">
        <x:v>266666</x:v>
      </x:c>
      <x:c r="G755" s="38" t="n">
        <x:v>43432</x:v>
      </x:c>
      <x:c r="H755" s="38" t="n">
        <x:v>43432</x:v>
      </x:c>
      <x:c r="I755" s="40" t="n">
        <x:v>48</x:v>
      </x:c>
      <x:c r="J755" s="33" t="str">
        <x:v>Accord-cadre</x:v>
      </x:c>
      <x:c r="K755" s="33" t="str">
        <x:v>Procédure adaptée</x:v>
      </x:c>
      <x:c r="L755" s="33" t="str">
        <x:v>Révisable</x:v>
      </x:c>
      <x:c r="M755" s="33" t="str">
        <x:v>(35) Ille-et-Vilaine</x:v>
      </x:c>
      <x:c r="N755" s="33" t="str">
        <x:v>Oui</x:v>
      </x:c>
      <x:c r="O755" s="33" t="str">
        <x:v>data.gouv.fr_aife</x:v>
      </x:c>
      <x:c r="P755" s="33" t="str">
        <x:v>2018170008986300</x:v>
      </x:c>
    </x:row>
    <x:row r="756">
      <x:c r="A756" s="33" t="str">
        <x:v>2018170008988000</x:v>
      </x:c>
      <x:c r="B756" s="33" t="str">
        <x:v>MINARM / SCA / PFC Ouest - Plate-forme commissariat Ouest (Rennes)</x:v>
      </x:c>
      <x:c r="C756" s="33" t="str">
        <x:v>ACP FORMATION</x:v>
      </x:c>
      <x:c r="D756" s="33" t="str">
        <x:v>Réalisation de formations dans le domaine &gt; pour les agents militaires et civils du Service du Commissariat des Armées (SCA) et les Commissaires des armées affectés en dehors de ce service. - Formations finances zone Ile de Fr</x:v>
      </x:c>
      <x:c r="E756" s="33" t="str">
        <x:v>Services de formation professionnelle.</x:v>
      </x:c>
      <x:c r="F756" s="36" t="n">
        <x:v>266666</x:v>
      </x:c>
      <x:c r="G756" s="38" t="n">
        <x:v>43432</x:v>
      </x:c>
      <x:c r="H756" s="38" t="n">
        <x:v>43432</x:v>
      </x:c>
      <x:c r="I756" s="40" t="n">
        <x:v>48</x:v>
      </x:c>
      <x:c r="J756" s="33" t="str">
        <x:v>Accord-cadre</x:v>
      </x:c>
      <x:c r="K756" s="33" t="str">
        <x:v>Procédure adaptée</x:v>
      </x:c>
      <x:c r="L756" s="33" t="str">
        <x:v>Révisable</x:v>
      </x:c>
      <x:c r="M756" s="33" t="str">
        <x:v>(75) Paris</x:v>
      </x:c>
      <x:c r="N756" s="33" t="str">
        <x:v>Oui</x:v>
      </x:c>
      <x:c r="O756" s="33" t="str">
        <x:v>data.gouv.fr_aife</x:v>
      </x:c>
      <x:c r="P756" s="33" t="str">
        <x:v>2018170008988000</x:v>
      </x:c>
    </x:row>
    <x:row r="757">
      <x:c r="A757" s="33" t="str">
        <x:v>2018170008988100</x:v>
      </x:c>
      <x:c r="B757" s="33" t="str">
        <x:v>MINARM / SCA / PFC Ouest - Plate-forme commissariat Ouest (Rennes)</x:v>
      </x:c>
      <x:c r="C757" s="33" t="str">
        <x:v>ACP FORMATION</x:v>
      </x:c>
      <x:c r="D757" s="33" t="str">
        <x:v>Réalisation de formations dans le domaine &gt; pour les agents militaires et civils du Service du Commissariat des Armées (SCA) et les Commissaires des armées affectés en dehors de ce service. - Formations finances zone Centre Es</x:v>
      </x:c>
      <x:c r="E757" s="33" t="str">
        <x:v>Services de formation professionnelle.</x:v>
      </x:c>
      <x:c r="F757" s="36" t="n">
        <x:v>266666</x:v>
      </x:c>
      <x:c r="G757" s="38" t="n">
        <x:v>43432</x:v>
      </x:c>
      <x:c r="H757" s="38" t="n">
        <x:v>43432</x:v>
      </x:c>
      <x:c r="I757" s="40" t="n">
        <x:v>48</x:v>
      </x:c>
      <x:c r="J757" s="33" t="str">
        <x:v>Accord-cadre</x:v>
      </x:c>
      <x:c r="K757" s="33" t="str">
        <x:v>Procédure adaptée</x:v>
      </x:c>
      <x:c r="L757" s="33" t="str">
        <x:v>Révisable</x:v>
      </x:c>
      <x:c r="M757" s="33" t="str">
        <x:v>(69) Rhône</x:v>
      </x:c>
      <x:c r="N757" s="33" t="str">
        <x:v>Oui</x:v>
      </x:c>
      <x:c r="O757" s="33" t="str">
        <x:v>data.gouv.fr_aife</x:v>
      </x:c>
      <x:c r="P757" s="33" t="str">
        <x:v>2018170008988100</x:v>
      </x:c>
    </x:row>
    <x:row r="758">
      <x:c r="A758" s="33" t="str">
        <x:v>2018130013908200</x:v>
      </x:c>
      <x:c r="B758" s="33" t="str">
        <x:v>MINARM / SSA / DAPSA - Direction des Approvisionnements en produits de santé des armées</x:v>
      </x:c>
      <x:c r="C758" s="33" t="str">
        <x:v>AMO FRANCE</x:v>
      </x:c>
      <x:c r="D758" s="33" t="str">
        <x:v>Prestations de maintenance des lasers chirurgicaux, médicaux, scientifiques et fournitures des pièces détachées, accessoires nécessaires au fonctionnement de lasers du Service de Santé des Armées (SSA) - Maintenance des lasers Femto seconde INTRALA</x:v>
      </x:c>
      <x:c r="E758" s="33" t="str">
        <x:v>Services de réparation et d'entretien de matériel médical et chirurgical.</x:v>
      </x:c>
      <x:c r="F758" s="36" t="n">
        <x:v>35000</x:v>
      </x:c>
      <x:c r="G758" s="38" t="n">
        <x:v>43432</x:v>
      </x:c>
      <x:c r="H758" s="38" t="n">
        <x:v>43432</x:v>
      </x:c>
      <x:c r="I758" s="40" t="n">
        <x:v>48</x:v>
      </x:c>
      <x:c r="J758" s="33" t="str">
        <x:v>Accord-cadre</x:v>
      </x:c>
      <x:c r="K758" s="33" t="str"/>
      <x:c r="L758" s="33" t="str">
        <x:v>Révisable</x:v>
      </x:c>
      <x:c r="M758" s="33" t="str">
        <x:v>(69) Rhône</x:v>
      </x:c>
      <x:c r="N758" s="33" t="str">
        <x:v>Oui</x:v>
      </x:c>
      <x:c r="O758" s="33" t="str">
        <x:v>data.gouv.fr_aife</x:v>
      </x:c>
      <x:c r="P758" s="33" t="str">
        <x:v>2018130013908200</x:v>
      </x:c>
    </x:row>
    <x:row r="759">
      <x:c r="A759" s="33" t="str">
        <x:v>2018130013926000</x:v>
      </x:c>
      <x:c r="B759" s="33" t="str">
        <x:v>MINARM / SSA / DAPSA - Direction des Approvisionnements en produits de santé des armées</x:v>
      </x:c>
      <x:c r="C759" s="33" t="str">
        <x:v>COHERENT EUROPE BV</x:v>
      </x:c>
      <x:c r="D759" s="33" t="str">
        <x:v>Prestations de maintenance des lasers chirurgicaux, médicaux, scientifiques et fournitures des pièces détachées, accessoires nécessaires au fonctionnement de lasers du Service de Santé des Armées (SSA) - Maintenance des lasers coherent</x:v>
      </x:c>
      <x:c r="E759" s="33" t="str">
        <x:v>Services de réparation et d'entretien de matériel médical et chirurgical.</x:v>
      </x:c>
      <x:c r="F759" s="36" t="n">
        <x:v>68400</x:v>
      </x:c>
      <x:c r="G759" s="38" t="n">
        <x:v>43432</x:v>
      </x:c>
      <x:c r="H759" s="38" t="n">
        <x:v>43432</x:v>
      </x:c>
      <x:c r="I759" s="40" t="n">
        <x:v>48</x:v>
      </x:c>
      <x:c r="J759" s="33" t="str">
        <x:v>Accord-cadre</x:v>
      </x:c>
      <x:c r="K759" s="33" t="str"/>
      <x:c r="L759" s="33" t="str">
        <x:v>Révisable</x:v>
      </x:c>
      <x:c r="M759" s="33" t="str">
        <x:v>(69) Rhône</x:v>
      </x:c>
      <x:c r="N759" s="33" t="str">
        <x:v>Oui</x:v>
      </x:c>
      <x:c r="O759" s="33" t="str">
        <x:v>data.gouv.fr_aife</x:v>
      </x:c>
      <x:c r="P759" s="33" t="str">
        <x:v>2018130013926000</x:v>
      </x:c>
    </x:row>
    <x:row r="760">
      <x:c r="A760" s="33" t="str">
        <x:v>2018130013954200</x:v>
      </x:c>
      <x:c r="B760" s="33" t="str">
        <x:v>MINARM / SGA / DSNJ - Direction du Service National et de la Jeunesse - DSNJ</x:v>
      </x:c>
      <x:c r="C760" s="33" t="str">
        <x:v>MEGACEROS</x:v>
      </x:c>
      <x:c r="D760" s="33" t="str">
        <x:v>Hébergement personnel d'encadrement CSN Marseille site Collège "Les Garcins" à Briançon</x:v>
      </x:c>
      <x:c r="E760" s="33" t="str">
        <x:v>Services d'hébergement hôtelier.</x:v>
      </x:c>
      <x:c r="F760" s="36" t="n">
        <x:v>6879</x:v>
      </x:c>
      <x:c r="G760" s="38" t="n">
        <x:v>43432</x:v>
      </x:c>
      <x:c r="H760" s="38" t="n">
        <x:v>43432</x:v>
      </x:c>
      <x:c r="I760" s="40" t="n">
        <x:v>36</x:v>
      </x:c>
      <x:c r="J760" s="33" t="str">
        <x:v>Accord-cadre</x:v>
      </x:c>
      <x:c r="K760" s="33" t="str"/>
      <x:c r="L760" s="33" t="str">
        <x:v>Révisable</x:v>
      </x:c>
      <x:c r="M760" s="33" t="str">
        <x:v>(05) Hautes-Alpes</x:v>
      </x:c>
      <x:c r="N760" s="33" t="str">
        <x:v>Oui</x:v>
      </x:c>
      <x:c r="O760" s="33" t="str">
        <x:v>data.gouv.fr_aife</x:v>
      </x:c>
      <x:c r="P760" s="33" t="str">
        <x:v>2018130013954200</x:v>
      </x:c>
    </x:row>
    <x:row r="761">
      <x:c r="A761" s="33" t="str">
        <x:v>2018130013966200</x:v>
      </x:c>
      <x:c r="B761" s="33" t="str">
        <x:v>MINARM / SGA / DSNJ - Direction du Service National et de la Jeunesse - DSNJ</x:v>
      </x:c>
      <x:c r="C761" s="33" t="str">
        <x:v>SOCIETE D'EXPLOITATION HOTELIERE PAVILLON-CARINA</x:v>
      </x:c>
      <x:c r="D761" s="33" t="str">
        <x:v>Hébergement du personnel d’encadrement du Centre du Service National (CSN) de Marseille participant à la Journée Défense et Citoyenneté (JDC) sur le site du 4ème Régiment des Chasseurs à Gap, sans paiement préalable.</x:v>
      </x:c>
      <x:c r="E761" s="33" t="str">
        <x:v>Services d'hébergement hôtelier.</x:v>
      </x:c>
      <x:c r="F761" s="36" t="n">
        <x:v>9394</x:v>
      </x:c>
      <x:c r="G761" s="38" t="n">
        <x:v>43432</x:v>
      </x:c>
      <x:c r="H761" s="38" t="n">
        <x:v>43432</x:v>
      </x:c>
      <x:c r="I761" s="40" t="n">
        <x:v>35</x:v>
      </x:c>
      <x:c r="J761" s="33" t="str">
        <x:v>Accord-cadre</x:v>
      </x:c>
      <x:c r="K761" s="33" t="str"/>
      <x:c r="L761" s="33" t="str">
        <x:v>Révisable</x:v>
      </x:c>
      <x:c r="M761" s="33" t="str">
        <x:v>(05) Hautes-Alpes</x:v>
      </x:c>
      <x:c r="N761" s="33" t="str">
        <x:v>Oui</x:v>
      </x:c>
      <x:c r="O761" s="33" t="str">
        <x:v>data.gouv.fr_aife</x:v>
      </x:c>
      <x:c r="P761" s="33" t="str">
        <x:v>2018130013966200</x:v>
      </x:c>
    </x:row>
    <x:row r="762">
      <x:c r="A762" s="33" t="str">
        <x:v>2018150908718800</x:v>
      </x:c>
      <x:c r="B762" s="33" t="str">
        <x:v>MINARM / SGA / SID / ESID Lyon - Etablissement du service d'infrastructure de la défense de Lyon - ESID Lyon</x:v>
      </x:c>
      <x:c r="C762" s="33" t="str">
        <x:v>MAESTRIA</x:v>
      </x:c>
      <x:c r="D762" s="33" t="str">
        <x:v>CALVI (2B) - 2ème REP - Création d'un bâtiment d'instruction au combat en zone urbaine (BICUB) - (ESID-18-079_080 - COSI 444 983) - Gros-Oeuvre - Electricité</x:v>
      </x:c>
      <x:c r="E762" s="33" t="str">
        <x:v>Travaux de construction de bâtiments.</x:v>
      </x:c>
      <x:c r="F762" s="36" t="n">
        <x:v>188429</x:v>
      </x:c>
      <x:c r="G762" s="38" t="n">
        <x:v>43433</x:v>
      </x:c>
      <x:c r="H762" s="38" t="n">
        <x:v>43433</x:v>
      </x:c>
      <x:c r="I762" s="40" t="n">
        <x:v>9</x:v>
      </x:c>
      <x:c r="J762" s="33" t="str">
        <x:v>Marché</x:v>
      </x:c>
      <x:c r="K762" s="33" t="str">
        <x:v>Procédure adaptée</x:v>
      </x:c>
      <x:c r="L762" s="33" t="str">
        <x:v>Ferme et actualisable</x:v>
      </x:c>
      <x:c r="M762" s="33" t="str">
        <x:v>(2B) Haute-Corse</x:v>
      </x:c>
      <x:c r="N762" s="33" t="str">
        <x:v>Oui</x:v>
      </x:c>
      <x:c r="O762" s="33" t="str">
        <x:v>data.gouv.fr_aife</x:v>
      </x:c>
      <x:c r="P762" s="33" t="str">
        <x:v>2018150908718800</x:v>
      </x:c>
    </x:row>
    <x:row r="763">
      <x:c r="A763" s="33" t="str">
        <x:v>2018150909387700</x:v>
      </x:c>
      <x:c r="B763" s="33" t="str">
        <x:v>MINARM / SGA / SID / ESID Lyon - Etablissement du service d'infrastructure de la défense de Lyon - ESID Lyon</x:v>
      </x:c>
      <x:c r="C763" s="33" t="str">
        <x:v>MORIN TP</x:v>
      </x:c>
      <x:c r="D763" s="33" t="str">
        <x:v>18DG034 DGN - Le Cannet des Maures (83) - BEGL - Déconstruction des bâtiments 061, 062, 152 et 170. (ESID-18-223_224 / COSI: ML) - Désamiantage des bâtiments 061, 062, 152 et 170</x:v>
      </x:c>
      <x:c r="E763" s="33" t="str">
        <x:v>Travaux de désamiantage.</x:v>
      </x:c>
      <x:c r="F763" s="36" t="n">
        <x:v>79630</x:v>
      </x:c>
      <x:c r="G763" s="38" t="n">
        <x:v>43433</x:v>
      </x:c>
      <x:c r="H763" s="38" t="n">
        <x:v>43433</x:v>
      </x:c>
      <x:c r="I763" s="40" t="n">
        <x:v>14</x:v>
      </x:c>
      <x:c r="J763" s="33" t="str">
        <x:v>Marché</x:v>
      </x:c>
      <x:c r="K763" s="33" t="str">
        <x:v>Procédure adaptée</x:v>
      </x:c>
      <x:c r="L763" s="33" t="str">
        <x:v>Ferme et actualisable</x:v>
      </x:c>
      <x:c r="M763" s="33" t="str">
        <x:v>(83) Var</x:v>
      </x:c>
      <x:c r="N763" s="33" t="str">
        <x:v>Oui</x:v>
      </x:c>
      <x:c r="O763" s="33" t="str">
        <x:v>data.gouv.fr_aife</x:v>
      </x:c>
      <x:c r="P763" s="33" t="str">
        <x:v>2018150909387700</x:v>
      </x:c>
    </x:row>
    <x:row r="764">
      <x:c r="A764" s="33" t="str">
        <x:v>2018150908711200</x:v>
      </x:c>
      <x:c r="B764" s="33" t="str">
        <x:v>MINARM / SGA / SID / ESID Lyon - Etablissement du service d'infrastructure de la défense de Lyon - ESID Lyon</x:v>
      </x:c>
      <x:c r="C764" s="33" t="str">
        <x:v>MINEUR BECOURT SYSTEMES</x:v>
      </x:c>
      <x:c r="D764" s="33" t="str">
        <x:v>CALVI (2B) - 2ème REP - Création d'un bâtiment d'instruction au combat en zone urbaine (BICUB) - (ESID-18-079_080 - COSI 444 983) - Charpente - couverture - métallerie.</x:v>
      </x:c>
      <x:c r="E764" s="33" t="str">
        <x:v>Travaux de construction de bâtiments.</x:v>
      </x:c>
      <x:c r="F764" s="36" t="n">
        <x:v>181500</x:v>
      </x:c>
      <x:c r="G764" s="38" t="n">
        <x:v>43433</x:v>
      </x:c>
      <x:c r="H764" s="38" t="n">
        <x:v>43433</x:v>
      </x:c>
      <x:c r="I764" s="40" t="n">
        <x:v>9</x:v>
      </x:c>
      <x:c r="J764" s="33" t="str">
        <x:v>Marché</x:v>
      </x:c>
      <x:c r="K764" s="33" t="str">
        <x:v>Procédure adaptée</x:v>
      </x:c>
      <x:c r="L764" s="33" t="str">
        <x:v>Ferme et actualisable</x:v>
      </x:c>
      <x:c r="M764" s="33" t="str">
        <x:v>(2B) Haute-Corse</x:v>
      </x:c>
      <x:c r="N764" s="33" t="str">
        <x:v>Oui</x:v>
      </x:c>
      <x:c r="O764" s="33" t="str">
        <x:v>data.gouv.fr_aife</x:v>
      </x:c>
      <x:c r="P764" s="33" t="str">
        <x:v>2018150908711200</x:v>
      </x:c>
    </x:row>
    <x:row r="765">
      <x:c r="A765" s="33" t="str">
        <x:v>2018150910274100</x:v>
      </x:c>
      <x:c r="B765" s="33" t="str">
        <x:v>MINARM / SCA / PFC Sud-Est - Plate-forme commissariat Sud-Est (Lyon)</x:v>
      </x:c>
      <x:c r="C765" s="33" t="str">
        <x:v>AART ELECTRONICS</x:v>
      </x:c>
      <x:c r="D765" s="33" t="str">
        <x:v>La fourniture de matériels de vidéo, de son et d'image au profit du Ministère des Armées. - Station portable pour le traitement photo/vidéo et infographie</x:v>
      </x:c>
      <x:c r="E765" s="33" t="str">
        <x:v>Matériel de télévision et matériel audiovisuel.</x:v>
      </x:c>
      <x:c r="F765" s="36" t="n">
        <x:v>17825</x:v>
      </x:c>
      <x:c r="G765" s="38" t="n">
        <x:v>43433</x:v>
      </x:c>
      <x:c r="H765" s="38" t="n">
        <x:v>43433</x:v>
      </x:c>
      <x:c r="I765" s="40" t="n">
        <x:v>12</x:v>
      </x:c>
      <x:c r="J765" s="33" t="str">
        <x:v>Marché</x:v>
      </x:c>
      <x:c r="K765" s="33" t="str">
        <x:v>Procédure adaptée</x:v>
      </x:c>
      <x:c r="L765" s="33" t="str">
        <x:v>Ferme</x:v>
      </x:c>
      <x:c r="M765" s="33" t="str">
        <x:v>(69) Rhône</x:v>
      </x:c>
      <x:c r="N765" s="33" t="str">
        <x:v>Oui</x:v>
      </x:c>
      <x:c r="O765" s="33" t="str">
        <x:v>data.gouv.fr_aife</x:v>
      </x:c>
      <x:c r="P765" s="33" t="str">
        <x:v>2018150910274100</x:v>
      </x:c>
    </x:row>
    <x:row r="766">
      <x:c r="A766" s="33" t="str">
        <x:v>2018130013907700</x:v>
      </x:c>
      <x:c r="B766" s="33" t="str">
        <x:v>MINARM / SCA / PFC RBT - Plate-forme commissariat Rambouillet</x:v>
      </x:c>
      <x:c r="C766" s="33" t="str">
        <x:v>LES CHAUSSURES DE LA BIEVRE</x:v>
      </x:c>
      <x:c r="D766" s="33" t="str">
        <x:v>FOURNITURE D'EFFETS CHAUSSANTS SERVICE COURANT - -LOT 1 Chaussures basses noires cadres, - -LOT 2 Chaussures basses noires cadres, - -LOT 3 Chaussures basses noires cadres, - -LOT 4 Chaussures basses blanche IA, - -LOT 5 Chaussures basses PFM (chaussure...</x:v>
      </x:c>
      <x:c r="E766" s="33" t="str">
        <x:v>Chaussures de ville.</x:v>
      </x:c>
      <x:c r="F766" s="36" t="n">
        <x:v>78000</x:v>
      </x:c>
      <x:c r="G766" s="38" t="n">
        <x:v>43433</x:v>
      </x:c>
      <x:c r="H766" s="38" t="n">
        <x:v>43433</x:v>
      </x:c>
      <x:c r="I766" s="40" t="n">
        <x:v>48</x:v>
      </x:c>
      <x:c r="J766" s="33" t="str">
        <x:v>Accord-cadre</x:v>
      </x:c>
      <x:c r="K766" s="33" t="str">
        <x:v>Appel d'offres ouvert</x:v>
      </x:c>
      <x:c r="L766" s="33" t="str">
        <x:v>Révisable</x:v>
      </x:c>
      <x:c r="M766" s="33" t="str">
        <x:v>(78) Yvelines</x:v>
      </x:c>
      <x:c r="N766" s="33" t="str">
        <x:v>Oui</x:v>
      </x:c>
      <x:c r="O766" s="33" t="str">
        <x:v>data.gouv.fr_aife</x:v>
      </x:c>
      <x:c r="P766" s="33" t="str">
        <x:v>2018130013907700</x:v>
      </x:c>
    </x:row>
    <x:row r="767">
      <x:c r="A767" s="33" t="str">
        <x:v>2018100013196800</x:v>
      </x:c>
      <x:c r="B767" s="33" t="str">
        <x:v>MINARM / SSF / DSSF Toulon - Direction du service de soutien de la flotte de Toulon - DSSF Toulon</x:v>
      </x:c>
      <x:c r="C767" s="33" t="str">
        <x:v>F.P.M.</x:v>
      </x:c>
      <x:c r="D767" s="33" t="str">
        <x:v>Accord cadre N° 2016M16T20003 relatif à la fourniture de matériels de quincaillerie et d'outillage naval. - Marché subséquent : N° K18T2000348 relatif à la fourniture de divers matériels de quincaillerie de diverses marques ou équivalent. -</x:v>
      </x:c>
      <x:c r="E767" s="33" t="str">
        <x:v>Quincaillerie.</x:v>
      </x:c>
      <x:c r="F767" s="36" t="n">
        <x:v>4045</x:v>
      </x:c>
      <x:c r="G767" s="38" t="n">
        <x:v>43433</x:v>
      </x:c>
      <x:c r="H767" s="38" t="n">
        <x:v>43433</x:v>
      </x:c>
      <x:c r="I767" s="40" t="n">
        <x:v>12</x:v>
      </x:c>
      <x:c r="J767" s="33" t="str">
        <x:v>Marché subséquent</x:v>
      </x:c>
      <x:c r="K767" s="33" t="str">
        <x:v>Appel d'offres ouvert</x:v>
      </x:c>
      <x:c r="L767" s="33" t="str">
        <x:v>Révisable</x:v>
      </x:c>
      <x:c r="M767" s="33" t="str">
        <x:v>(83) Var</x:v>
      </x:c>
      <x:c r="N767" s="33" t="str">
        <x:v>Oui</x:v>
      </x:c>
      <x:c r="O767" s="33" t="str">
        <x:v>data.gouv.fr_aife</x:v>
      </x:c>
      <x:c r="P767" s="33" t="str">
        <x:v>2018100013196800</x:v>
      </x:c>
    </x:row>
    <x:row r="768">
      <x:c r="A768" s="33" t="str">
        <x:v>2018130013911100</x:v>
      </x:c>
      <x:c r="B768" s="33" t="str">
        <x:v>MINARM / SSA / DAPSA - Direction des Approvisionnements en produits de santé des armées</x:v>
      </x:c>
      <x:c r="C768" s="33" t="str">
        <x:v>IMD GROUP</x:v>
      </x:c>
      <x:c r="D768" s="33" t="str">
        <x:v>Prestations de maintenance des lasers chirurgicaux, médicaux, scientifiques et fournitures des pièces détachées, accessoires nécessaires au fonctionnement de lasers du Service de Santé des Armées (SSA) - Maintenance des lasers Smart</x:v>
      </x:c>
      <x:c r="E768" s="33" t="str">
        <x:v>Services de réparation et d'entretien de matériel médical et chirurgical.</x:v>
      </x:c>
      <x:c r="F768" s="36" t="n">
        <x:v>1950</x:v>
      </x:c>
      <x:c r="G768" s="38" t="n">
        <x:v>43433</x:v>
      </x:c>
      <x:c r="H768" s="38" t="n">
        <x:v>43433</x:v>
      </x:c>
      <x:c r="I768" s="40" t="n">
        <x:v>48</x:v>
      </x:c>
      <x:c r="J768" s="33" t="str">
        <x:v>Accord-cadre</x:v>
      </x:c>
      <x:c r="K768" s="33" t="str"/>
      <x:c r="L768" s="33" t="str">
        <x:v>Révisable</x:v>
      </x:c>
      <x:c r="M768" s="33" t="str">
        <x:v>(69) Rhône</x:v>
      </x:c>
      <x:c r="N768" s="33" t="str">
        <x:v>Oui</x:v>
      </x:c>
      <x:c r="O768" s="33" t="str">
        <x:v>data.gouv.fr_aife</x:v>
      </x:c>
      <x:c r="P768" s="33" t="str">
        <x:v>2018130013911100</x:v>
      </x:c>
    </x:row>
    <x:row r="769">
      <x:c r="A769" s="33" t="str">
        <x:v>20182018S5014200</x:v>
      </x:c>
      <x:c r="B769" s="33" t="str">
        <x:v>MINARM / ESTM / EPA / ONAC - Office National des Anciens Combattants et victimes de guerre</x:v>
      </x:c>
      <x:c r="C769" s="33" t="str">
        <x:v>SOCIETE FRANCAISE DU RADIOTELEPHONE - SFR</x:v>
      </x:c>
      <x:c r="D769" s="33" t="str">
        <x:v>Prestations de service de télécommunications : téléphonie fixe</x:v>
      </x:c>
      <x:c r="E769" s="33" t="str">
        <x:v>Services de télécommunications.</x:v>
      </x:c>
      <x:c r="F769" s="36" t="n">
        <x:v>403978</x:v>
      </x:c>
      <x:c r="G769" s="38" t="n">
        <x:v>43433</x:v>
      </x:c>
      <x:c r="H769" s="38" t="n">
        <x:v>43433</x:v>
      </x:c>
      <x:c r="I769" s="40" t="n">
        <x:v>48</x:v>
      </x:c>
      <x:c r="J769" s="33" t="str">
        <x:v>Accord-cadre</x:v>
      </x:c>
      <x:c r="K769" s="33" t="str">
        <x:v>Appel d'offres ouvert</x:v>
      </x:c>
      <x:c r="L769" s="33" t="str">
        <x:v>Révisable</x:v>
      </x:c>
      <x:c r="M769" s="33" t="str">
        <x:v>(22) Côtes-d'Armor</x:v>
      </x:c>
      <x:c r="N769" s="33" t="str">
        <x:v>Oui</x:v>
      </x:c>
      <x:c r="O769" s="33" t="str">
        <x:v>data.gouv.fr_aife</x:v>
      </x:c>
      <x:c r="P769" s="33" t="str">
        <x:v>20182018S5014200</x:v>
      </x:c>
    </x:row>
    <x:row r="770">
      <x:c r="A770" s="33" t="str">
        <x:v>2018130013969500</x:v>
      </x:c>
      <x:c r="B770" s="33" t="str">
        <x:v>MINARM / SGA / SID / ESID Rennes - Etablissement du service d'infrastructure de la défense de Rennes - ESID Rennes</x:v>
      </x:c>
      <x:c r="C770" s="33" t="str">
        <x:v>EIFFAGE CONSTRUCTION CENTRE</x:v>
      </x:c>
      <x:c r="D770" s="33" t="str">
        <x:v>Base de Défense Bourges-Avord (18) - Accord cadre à bon de commande pour les Travaux d’entretien, et d’aménagements des ouvrages de maçonnerie sur les sites militaires. Base Aérienne 702 d’Avord (18), Entrepôt Principal des Munitions de Savign</x:v>
      </x:c>
      <x:c r="E770" s="33" t="str">
        <x:v>Travaux de maçonnerie et de briquetage.</x:v>
      </x:c>
      <x:c r="F770" s="36" t="n">
        <x:v>2000000</x:v>
      </x:c>
      <x:c r="G770" s="38" t="n">
        <x:v>43433</x:v>
      </x:c>
      <x:c r="H770" s="38" t="n">
        <x:v>43433</x:v>
      </x:c>
      <x:c r="I770" s="40" t="n">
        <x:v>48</x:v>
      </x:c>
      <x:c r="J770" s="33" t="str">
        <x:v>Accord-cadre</x:v>
      </x:c>
      <x:c r="K770" s="33" t="str">
        <x:v>Appel d'offres ouvert</x:v>
      </x:c>
      <x:c r="L770" s="33" t="str">
        <x:v>Révisable</x:v>
      </x:c>
      <x:c r="M770" s="33" t="str">
        <x:v>(18) Cher</x:v>
      </x:c>
      <x:c r="N770" s="33" t="str">
        <x:v>Oui</x:v>
      </x:c>
      <x:c r="O770" s="33" t="str">
        <x:v>data.gouv.fr_aife</x:v>
      </x:c>
      <x:c r="P770" s="33" t="str">
        <x:v>2018130013969500</x:v>
      </x:c>
    </x:row>
    <x:row r="771">
      <x:c r="A771" s="33" t="str">
        <x:v>2018150912413000</x:v>
      </x:c>
      <x:c r="B771" s="33" t="str">
        <x:v>MINARM / SGA / SID / ESID Metz - Etablissement du service d'infrastructure de la défense de Metz - ESID Metz</x:v>
      </x:c>
      <x:c r="C771" s="33" t="str">
        <x:v>WH</x:v>
      </x:c>
      <x:c r="D771" s="33" t="str">
        <x:v>METZ (57) – Hôpital LEGOUEST – Bâtiment 0020 – Chapelle - Mise en œuvre de l’Ad’AP 2018 – TRAVAUX EXTERIEURS</x:v>
      </x:c>
      <x:c r="E771" s="33" t="str">
        <x:v>Travaux de marquage routier.</x:v>
      </x:c>
      <x:c r="F771" s="36" t="n">
        <x:v>55000</x:v>
      </x:c>
      <x:c r="G771" s="38" t="n">
        <x:v>43433</x:v>
      </x:c>
      <x:c r="H771" s="38" t="n">
        <x:v>43433</x:v>
      </x:c>
      <x:c r="I771" s="40" t="n">
        <x:v>5</x:v>
      </x:c>
      <x:c r="J771" s="33" t="str">
        <x:v>Marché</x:v>
      </x:c>
      <x:c r="K771" s="33" t="str">
        <x:v>Procédure adaptée</x:v>
      </x:c>
      <x:c r="L771" s="33" t="str">
        <x:v>Ferme et actualisable</x:v>
      </x:c>
      <x:c r="M771" s="33" t="str">
        <x:v>(57) Moselle</x:v>
      </x:c>
      <x:c r="N771" s="33" t="str">
        <x:v>Oui</x:v>
      </x:c>
      <x:c r="O771" s="33" t="str">
        <x:v>data.gouv.fr_aife</x:v>
      </x:c>
      <x:c r="P771" s="33" t="str">
        <x:v>2018150912413000</x:v>
      </x:c>
    </x:row>
    <x:row r="772">
      <x:c r="A772" s="33" t="str">
        <x:v>2018170009024200</x:v>
      </x:c>
      <x:c r="B772" s="33" t="str">
        <x:v>MINARM / SCA / PFC Ouest - Plate-forme commissariat Ouest (Rennes)</x:v>
      </x:c>
      <x:c r="C772" s="33" t="str">
        <x:v>FULL MOTION VIDEO SYSTEM</x:v>
      </x:c>
      <x:c r="D772" s="33" t="str">
        <x:v>RÉALISATION DE FORMATIONS A L’ENCODAGE ET AU MONTAGE VIDEO FMV AU PROFIT DU CFA</x:v>
      </x:c>
      <x:c r="E772" s="33" t="str">
        <x:v>Services de formation et de familiarisation dans le domaine de l'informatique.</x:v>
      </x:c>
      <x:c r="F772" s="36" t="n">
        <x:v>60000</x:v>
      </x:c>
      <x:c r="G772" s="38" t="n">
        <x:v>43433</x:v>
      </x:c>
      <x:c r="H772" s="38" t="n">
        <x:v>43433</x:v>
      </x:c>
      <x:c r="I772" s="40" t="n">
        <x:v>48</x:v>
      </x:c>
      <x:c r="J772" s="33" t="str">
        <x:v>Accord-cadre</x:v>
      </x:c>
      <x:c r="K772" s="33" t="str">
        <x:v>Appel d'offres ouvert</x:v>
      </x:c>
      <x:c r="L772" s="33" t="str">
        <x:v>Révisable</x:v>
      </x:c>
      <x:c r="M772" s="33" t="str">
        <x:v>(16) Charente</x:v>
      </x:c>
      <x:c r="N772" s="33" t="str">
        <x:v>Oui</x:v>
      </x:c>
      <x:c r="O772" s="33" t="str">
        <x:v>data.gouv.fr_aife</x:v>
      </x:c>
      <x:c r="P772" s="33" t="str">
        <x:v>2018170009024200</x:v>
      </x:c>
    </x:row>
    <x:row r="773">
      <x:c r="A773" s="33" t="str">
        <x:v>2018130013909600</x:v>
      </x:c>
      <x:c r="B773" s="33" t="str">
        <x:v>MINARM / SCA / PFC RBT - Plate-forme commissariat Rambouillet</x:v>
      </x:c>
      <x:c r="C773" s="33" t="str">
        <x:v>LES CHAUSSURES DE LA BIEVRE</x:v>
      </x:c>
      <x:c r="D773" s="33" t="str">
        <x:v>FOURNITURE D'EFFETS CHAUSSANTS SERVICE COURANT - -LOT 1 Chaussures basses noires cadres, - -LOT 2 Chaussures basses noires cadres, - -LOT 3 Chaussures basses noires cadres, - -LOT 4 Chaussures basses blanche IA, - -LOT 5 Chaussures basses PFM (chaussure...</x:v>
      </x:c>
      <x:c r="E773" s="33" t="str">
        <x:v>Chaussures de ville.</x:v>
      </x:c>
      <x:c r="F773" s="36" t="n">
        <x:v>5400000</x:v>
      </x:c>
      <x:c r="G773" s="38" t="n">
        <x:v>43433</x:v>
      </x:c>
      <x:c r="H773" s="38" t="n">
        <x:v>43433</x:v>
      </x:c>
      <x:c r="I773" s="40" t="n">
        <x:v>48</x:v>
      </x:c>
      <x:c r="J773" s="33" t="str">
        <x:v>Accord-cadre</x:v>
      </x:c>
      <x:c r="K773" s="33" t="str">
        <x:v>Appel d'offres ouvert</x:v>
      </x:c>
      <x:c r="L773" s="33" t="str">
        <x:v>Révisable</x:v>
      </x:c>
      <x:c r="M773" s="33" t="str">
        <x:v>(78) Yvelines</x:v>
      </x:c>
      <x:c r="N773" s="33" t="str">
        <x:v>Oui</x:v>
      </x:c>
      <x:c r="O773" s="33" t="str">
        <x:v>data.gouv.fr_aife</x:v>
      </x:c>
      <x:c r="P773" s="33" t="str">
        <x:v>2018130013909600</x:v>
      </x:c>
    </x:row>
    <x:row r="774">
      <x:c r="A774" s="33" t="str">
        <x:v>2018100013217500</x:v>
      </x:c>
      <x:c r="B774" s="33" t="str">
        <x:v>MINARM / SGA / SID / ESID Bordeaux - Etablissement du service d'infrastructure de la défense de Bordeaux - ESID Bordeaux</x:v>
      </x:c>
      <x:c r="C774" s="33" t="str">
        <x:v>ACOBA</x:v>
      </x:c>
      <x:c r="D774" s="33" t="str">
        <x:v>ANGOULÊME (16) - Marché Assistance à maitrise d'Ouvrage (AMO) pour la construction d'un point restauration unique 900 rationnaires - Quartier Fayolle Bossut</x:v>
      </x:c>
      <x:c r="E774" s="33" t="str">
        <x:v>Services d'ingénierie.</x:v>
      </x:c>
      <x:c r="F774" s="36" t="n">
        <x:v>128800</x:v>
      </x:c>
      <x:c r="G774" s="38" t="n">
        <x:v>43433</x:v>
      </x:c>
      <x:c r="H774" s="38" t="n">
        <x:v>43433</x:v>
      </x:c>
      <x:c r="I774" s="40" t="n">
        <x:v>62</x:v>
      </x:c>
      <x:c r="J774" s="33" t="str">
        <x:v>Marché</x:v>
      </x:c>
      <x:c r="K774" s="33" t="str">
        <x:v>Appel d'offres ouvert</x:v>
      </x:c>
      <x:c r="L774" s="33" t="str">
        <x:v>Révisable</x:v>
      </x:c>
      <x:c r="M774" s="33" t="str">
        <x:v>(16) Charente</x:v>
      </x:c>
      <x:c r="N774" s="33" t="str">
        <x:v>Oui</x:v>
      </x:c>
      <x:c r="O774" s="33" t="str">
        <x:v>data.gouv.fr_aife</x:v>
      </x:c>
      <x:c r="P774" s="33" t="str">
        <x:v>2018100013217500</x:v>
      </x:c>
    </x:row>
    <x:row r="775">
      <x:c r="A775" s="33" t="str">
        <x:v>2018150913640200</x:v>
      </x:c>
      <x:c r="B775" s="33" t="str">
        <x:v>MINARM / SCA / PFC Sud-Est - Plate-forme commissariat Sud-Est (Lyon)</x:v>
      </x:c>
      <x:c r="C775" s="33" t="str">
        <x:v>SOLUTIONS TECHNIQUES BROADCAST</x:v>
      </x:c>
      <x:c r="D775" s="33" t="str">
        <x:v>La fourniture de matériel de radio diffusion.</x:v>
      </x:c>
      <x:c r="E775" s="33" t="str">
        <x:v>Matériel de radiodiffusion et de télévision.</x:v>
      </x:c>
      <x:c r="F775" s="36" t="n">
        <x:v>31895</x:v>
      </x:c>
      <x:c r="G775" s="38" t="n">
        <x:v>43433</x:v>
      </x:c>
      <x:c r="H775" s="38" t="n">
        <x:v>43433</x:v>
      </x:c>
      <x:c r="I775" s="40" t="n">
        <x:v>12</x:v>
      </x:c>
      <x:c r="J775" s="33" t="str">
        <x:v>Marché</x:v>
      </x:c>
      <x:c r="K775" s="33" t="str"/>
      <x:c r="L775" s="33" t="str">
        <x:v>Ferme</x:v>
      </x:c>
      <x:c r="M775" s="33" t="str">
        <x:v>(69) Rhône</x:v>
      </x:c>
      <x:c r="N775" s="33" t="str">
        <x:v>Oui</x:v>
      </x:c>
      <x:c r="O775" s="33" t="str">
        <x:v>data.gouv.fr_aife</x:v>
      </x:c>
      <x:c r="P775" s="33" t="str">
        <x:v>2018150913640200</x:v>
      </x:c>
    </x:row>
    <x:row r="776">
      <x:c r="A776" s="33" t="str">
        <x:v>2018130013965900</x:v>
      </x:c>
      <x:c r="B776" s="33" t="str">
        <x:v>MINARM / SGA / SID / ESID Bordeaux - Etablissement du service d'infrastructure de la défense de Bordeaux - ESID Bordeaux</x:v>
      </x:c>
      <x:c r="C776" s="33" t="str">
        <x:v>ORTEC ENVIRONNEMENT</x:v>
      </x:c>
      <x:c r="D776" s="33" t="str">
        <x:v>Accord-cadre à bons de commande relatif à la maintenance et aux travaux d’entretien des réseaux d'assainissement, des séparateurs à hydrocarbures, des bacs à graisses et des fosses septiques de la BdD de Rochefort sur les départements de Charente</x:v>
      </x:c>
      <x:c r="E776" s="33" t="str">
        <x:v>Services de curage des égouts.</x:v>
      </x:c>
      <x:c r="F776" s="36" t="n">
        <x:v>1</x:v>
      </x:c>
      <x:c r="G776" s="38" t="n">
        <x:v>43433</x:v>
      </x:c>
      <x:c r="H776" s="38" t="n">
        <x:v>43433</x:v>
      </x:c>
      <x:c r="I776" s="40" t="n">
        <x:v>48</x:v>
      </x:c>
      <x:c r="J776" s="33" t="str">
        <x:v>Accord-cadre</x:v>
      </x:c>
      <x:c r="K776" s="33" t="str">
        <x:v>Appel d'offres ouvert</x:v>
      </x:c>
      <x:c r="L776" s="33" t="str">
        <x:v>Révisable</x:v>
      </x:c>
      <x:c r="M776" s="33" t="str">
        <x:v>(17) Charente-Maritime</x:v>
      </x:c>
      <x:c r="N776" s="33" t="str">
        <x:v>Oui</x:v>
      </x:c>
      <x:c r="O776" s="33" t="str">
        <x:v>data.gouv.fr_aife</x:v>
      </x:c>
      <x:c r="P776" s="33" t="str">
        <x:v>2018130013965900</x:v>
      </x:c>
    </x:row>
    <x:row r="777">
      <x:c r="A777" s="33" t="str">
        <x:v>2018100013179200</x:v>
      </x:c>
      <x:c r="B777" s="33" t="str">
        <x:v>MINARM / SGA / SID / ESID Rennes - Etablissement du service d'infrastructure de la défense de Rennes - ESID Rennes</x:v>
      </x:c>
      <x:c r="C777" s="33" t="str">
        <x:v>GROUPE A.A.U.P.</x:v>
      </x:c>
      <x:c r="D777" s="33" t="str">
        <x:v>ROMORANTIN (41) - Détachement Aérien 273 de l'Armée de l'air - Construction d'un point unique de restauration avec une structure d'hébergement, réalisation d'aires aménagées et déconstruction de l'actuel point de restauration - Maîtrise d'oeuvre</x:v>
      </x:c>
      <x:c r="E777" s="33" t="str">
        <x:v>Services d'architecture.</x:v>
      </x:c>
      <x:c r="F777" s="36" t="n">
        <x:v>448401</x:v>
      </x:c>
      <x:c r="G777" s="38" t="n">
        <x:v>43433</x:v>
      </x:c>
      <x:c r="H777" s="38" t="n">
        <x:v>43433</x:v>
      </x:c>
      <x:c r="I777" s="40" t="n">
        <x:v>40</x:v>
      </x:c>
      <x:c r="J777" s="33" t="str">
        <x:v>Marché</x:v>
      </x:c>
      <x:c r="K777" s="33" t="str">
        <x:v>Appel d'offres ouvert</x:v>
      </x:c>
      <x:c r="L777" s="33" t="str">
        <x:v>Ferme et actualisable</x:v>
      </x:c>
      <x:c r="M777" s="33" t="str">
        <x:v>(41) Loir-et-Cher</x:v>
      </x:c>
      <x:c r="N777" s="33" t="str">
        <x:v>Oui</x:v>
      </x:c>
      <x:c r="O777" s="33" t="str">
        <x:v>data.gouv.fr_aife</x:v>
      </x:c>
      <x:c r="P777" s="33" t="str">
        <x:v>2018100013179200</x:v>
      </x:c>
    </x:row>
    <x:row r="778">
      <x:c r="A778" s="33" t="str">
        <x:v>2018100013184100</x:v>
      </x:c>
      <x:c r="B778" s="33" t="str">
        <x:v>MINARM / SGA / SID / ESID Rennes - Etablissement du service d'infrastructure de la défense de Rennes - ESID Rennes</x:v>
      </x:c>
      <x:c r="C778" s="33" t="str">
        <x:v>PETROFER SOCIETE NOUVELLE</x:v>
      </x:c>
      <x:c r="D778" s="33" t="str">
        <x:v>Rosnay (36) - Centre de Transmission de la Marine - Réfection des sas de décontamination nrbc de l'abri enterré - Désamiantage et reprise de l'étanchéité des locaux, peinture, plomberie et courants fort/faible</x:v>
      </x:c>
      <x:c r="E778" s="33" t="str">
        <x:v>Modernisation d'installations.</x:v>
      </x:c>
      <x:c r="F778" s="36" t="n">
        <x:v>276170</x:v>
      </x:c>
      <x:c r="G778" s="38" t="n">
        <x:v>43433</x:v>
      </x:c>
      <x:c r="H778" s="38" t="n">
        <x:v>43433</x:v>
      </x:c>
      <x:c r="I778" s="40" t="n">
        <x:v>6</x:v>
      </x:c>
      <x:c r="J778" s="33" t="str">
        <x:v>Marché</x:v>
      </x:c>
      <x:c r="K778" s="33" t="str">
        <x:v>Appel d'offres ouvert</x:v>
      </x:c>
      <x:c r="L778" s="33" t="str">
        <x:v>Révisable</x:v>
      </x:c>
      <x:c r="M778" s="33" t="str">
        <x:v>(36) Indre</x:v>
      </x:c>
      <x:c r="N778" s="33" t="str">
        <x:v>Oui</x:v>
      </x:c>
      <x:c r="O778" s="33" t="str">
        <x:v>data.gouv.fr_aife</x:v>
      </x:c>
      <x:c r="P778" s="33" t="str">
        <x:v>2018100013184100</x:v>
      </x:c>
    </x:row>
    <x:row r="779">
      <x:c r="A779" s="33" t="str">
        <x:v>2018130013964700</x:v>
      </x:c>
      <x:c r="B779" s="33" t="str">
        <x:v>MINARM / SGA / SID / ESID Rennes - Etablissement du service d'infrastructure de la défense de Rennes - ESID Rennes</x:v>
      </x:c>
      <x:c r="C779" s="33" t="str">
        <x:v>CHAUFFAGE RATIONNEL &amp; APPLICATIONS MODERNES</x:v>
      </x:c>
      <x:c r="D779" s="33" t="str">
        <x:v>Base de défense d'Evreux - maintenance préventive et corrective des installations thermiques - DGA-TH Val-de Reuil</x:v>
      </x:c>
      <x:c r="E779" s="33" t="str">
        <x:v>Services de réparation et d'entretien d'installations de bâtiments.</x:v>
      </x:c>
      <x:c r="F779" s="36" t="n">
        <x:v>100000</x:v>
      </x:c>
      <x:c r="G779" s="38" t="n">
        <x:v>43433</x:v>
      </x:c>
      <x:c r="H779" s="38" t="n">
        <x:v>43433</x:v>
      </x:c>
      <x:c r="I779" s="40" t="n">
        <x:v>48</x:v>
      </x:c>
      <x:c r="J779" s="33" t="str">
        <x:v>Accord-cadre</x:v>
      </x:c>
      <x:c r="K779" s="33" t="str">
        <x:v>Appel d'offres ouvert</x:v>
      </x:c>
      <x:c r="L779" s="33" t="str">
        <x:v>Révisable</x:v>
      </x:c>
      <x:c r="M779" s="33" t="str">
        <x:v>(28) Eure-et-Loir</x:v>
      </x:c>
      <x:c r="N779" s="33" t="str">
        <x:v>Oui</x:v>
      </x:c>
      <x:c r="O779" s="33" t="str">
        <x:v>data.gouv.fr_aife</x:v>
      </x:c>
      <x:c r="P779" s="33" t="str">
        <x:v>2018130013964700</x:v>
      </x:c>
    </x:row>
    <x:row r="780">
      <x:c r="A780" s="33" t="str">
        <x:v>2018160004947000</x:v>
      </x:c>
      <x:c r="B780" s="33" t="str">
        <x:v>MINARM / SGA / SID / ESID Lyon - Etablissement du service d'infrastructure de la défense de Lyon - ESID Lyon</x:v>
      </x:c>
      <x:c r="C780" s="33" t="str">
        <x:v>CASTELNAU BATIMENT TRAVAUX PUBLICS</x:v>
      </x:c>
      <x:c r="D780" s="33" t="str">
        <x:v>18DG033 DGN - Le Cannet des Maures (83) - BEGL - Déconstruction des bâtiments 061, 062, 152 et 170. (ESID-18-223_224 / COSI: ML) - Déconstruction des bâtiments 061, 062, 152 et 170</x:v>
      </x:c>
      <x:c r="E780" s="33" t="str">
        <x:v>Travaux de démolition.</x:v>
      </x:c>
      <x:c r="F780" s="36" t="n">
        <x:v>31500</x:v>
      </x:c>
      <x:c r="G780" s="38" t="n">
        <x:v>43433</x:v>
      </x:c>
      <x:c r="H780" s="38" t="n">
        <x:v>43433</x:v>
      </x:c>
      <x:c r="I780" s="40" t="n">
        <x:v>14</x:v>
      </x:c>
      <x:c r="J780" s="33" t="str">
        <x:v>Marché</x:v>
      </x:c>
      <x:c r="K780" s="33" t="str">
        <x:v>Procédure adaptée</x:v>
      </x:c>
      <x:c r="L780" s="33" t="str">
        <x:v>Ferme et actualisable</x:v>
      </x:c>
      <x:c r="M780" s="33" t="str">
        <x:v>(83) Var</x:v>
      </x:c>
      <x:c r="N780" s="33" t="str">
        <x:v>Oui</x:v>
      </x:c>
      <x:c r="O780" s="33" t="str">
        <x:v>data.gouv.fr_aife</x:v>
      </x:c>
      <x:c r="P780" s="33" t="str">
        <x:v>2018160004947000</x:v>
      </x:c>
    </x:row>
    <x:row r="781">
      <x:c r="A781" s="33" t="str">
        <x:v>2018130013907800</x:v>
      </x:c>
      <x:c r="B781" s="33" t="str">
        <x:v>MINARM / SCA / PFC RBT - Plate-forme commissariat Rambouillet</x:v>
      </x:c>
      <x:c r="C781" s="33" t="str">
        <x:v>LES CHAUSSURES DE LA BIEVRE</x:v>
      </x:c>
      <x:c r="D781" s="33" t="str">
        <x:v>FOURNITURE D'EFFETS CHAUSSANTS SERVICE COURANT - -LOT 1 Chaussures basses noires cadres, - -LOT 2 Chaussures basses noires cadres, - -LOT 3 Chaussures basses noires cadres, - -LOT 4 Chaussures basses blanche IA, - -LOT 5 Chaussures basses PFM (chaussure...</x:v>
      </x:c>
      <x:c r="E781" s="33" t="str">
        <x:v>Chaussures de ville.</x:v>
      </x:c>
      <x:c r="F781" s="36" t="n">
        <x:v>94000</x:v>
      </x:c>
      <x:c r="G781" s="38" t="n">
        <x:v>43433</x:v>
      </x:c>
      <x:c r="H781" s="38" t="n">
        <x:v>43433</x:v>
      </x:c>
      <x:c r="I781" s="40" t="n">
        <x:v>48</x:v>
      </x:c>
      <x:c r="J781" s="33" t="str">
        <x:v>Accord-cadre</x:v>
      </x:c>
      <x:c r="K781" s="33" t="str">
        <x:v>Appel d'offres ouvert</x:v>
      </x:c>
      <x:c r="L781" s="33" t="str">
        <x:v>Révisable</x:v>
      </x:c>
      <x:c r="M781" s="33" t="str">
        <x:v>(78) Yvelines</x:v>
      </x:c>
      <x:c r="N781" s="33" t="str">
        <x:v>Oui</x:v>
      </x:c>
      <x:c r="O781" s="33" t="str">
        <x:v>data.gouv.fr_aife</x:v>
      </x:c>
      <x:c r="P781" s="33" t="str">
        <x:v>2018130013907800</x:v>
      </x:c>
    </x:row>
    <x:row r="782">
      <x:c r="A782" s="33" t="str">
        <x:v>2018150912406000</x:v>
      </x:c>
      <x:c r="B782" s="33" t="str">
        <x:v>MINARM / SSF / DSSF Brest - Direction du service de soutien de la flotte de Brest - DSSF Brest</x:v>
      </x:c>
      <x:c r="C782" s="33" t="str">
        <x:v>MECHANICAL SPARE PARTS FRANCE</x:v>
      </x:c>
      <x:c r="D782" s="33" t="str">
        <x:v>Approvisionnement de rechanges et d'accessoires de moteur de marque VOLVO PENTA ou équivalent au profit des bâtiments de la Marine Nationale</x:v>
      </x:c>
      <x:c r="E782" s="33" t="str">
        <x:v>Pièces de rechange pour coque et pièces mécaniques pour navires de guerre.</x:v>
      </x:c>
      <x:c r="F782" s="36" t="n">
        <x:v>723</x:v>
      </x:c>
      <x:c r="G782" s="38" t="n">
        <x:v>43433</x:v>
      </x:c>
      <x:c r="H782" s="38" t="n">
        <x:v>43433</x:v>
      </x:c>
      <x:c r="I782" s="40" t="n">
        <x:v>1</x:v>
      </x:c>
      <x:c r="J782" s="33" t="str">
        <x:v>Marché</x:v>
      </x:c>
      <x:c r="K782" s="33" t="str">
        <x:v>Procédure adaptée</x:v>
      </x:c>
      <x:c r="L782" s="33" t="str">
        <x:v>Ferme</x:v>
      </x:c>
      <x:c r="M782" s="33" t="str">
        <x:v>(29) Finistère</x:v>
      </x:c>
      <x:c r="N782" s="33" t="str">
        <x:v>Oui</x:v>
      </x:c>
      <x:c r="O782" s="33" t="str">
        <x:v>data.gouv.fr_aife</x:v>
      </x:c>
      <x:c r="P782" s="33" t="str">
        <x:v>2018150912406000</x:v>
      </x:c>
    </x:row>
    <x:row r="783">
      <x:c r="A783" s="33" t="str">
        <x:v>2018100013212800</x:v>
      </x:c>
      <x:c r="B783" s="33" t="str">
        <x:v>MINARM / SSF / DSSF Toulon - Direction du service de soutien de la flotte de Toulon - DSSF Toulon</x:v>
      </x:c>
      <x:c r="C783" s="33" t="str">
        <x:v>LOGNAV-CM</x:v>
      </x:c>
      <x:c r="D783" s="33" t="str">
        <x:v>AC M15T20 025 relatif à la fourniture de matériels de robinetterie tels que vannes, soupapes, clapets, robinets, détendeurs, valves, raccords, coudes, tubes, tuyaux, colliers, brides, manchons, flexibles et accessoires associés pour les besoins néces</x:v>
      </x:c>
      <x:c r="E783" s="33" t="str">
        <x:v>Pièces pour navires de guerre.</x:v>
      </x:c>
      <x:c r="F783" s="36" t="n">
        <x:v>9868</x:v>
      </x:c>
      <x:c r="G783" s="38" t="n">
        <x:v>43433</x:v>
      </x:c>
      <x:c r="H783" s="38" t="n">
        <x:v>43433</x:v>
      </x:c>
      <x:c r="I783" s="40" t="n">
        <x:v>2</x:v>
      </x:c>
      <x:c r="J783" s="33" t="str">
        <x:v>Marché subséquent</x:v>
      </x:c>
      <x:c r="K783" s="33" t="str">
        <x:v>Appel d'offres ouvert</x:v>
      </x:c>
      <x:c r="L783" s="33" t="str">
        <x:v>Ferme et actualisable</x:v>
      </x:c>
      <x:c r="M783" s="33" t="str">
        <x:v>(83) Var</x:v>
      </x:c>
      <x:c r="N783" s="33" t="str">
        <x:v>Oui</x:v>
      </x:c>
      <x:c r="O783" s="33" t="str">
        <x:v>data.gouv.fr_aife</x:v>
      </x:c>
      <x:c r="P783" s="33" t="str">
        <x:v>2018100013212800</x:v>
      </x:c>
    </x:row>
    <x:row r="784">
      <x:c r="A784" s="33" t="str">
        <x:v>2018100013116600</x:v>
      </x:c>
      <x:c r="B784" s="33" t="str">
        <x:v>MINARM / SGA / SID / ESID Rennes - Etablissement du service d'infrastructure de la défense de Rennes - ESID Rennes</x:v>
      </x:c>
      <x:c r="C784" s="33" t="str">
        <x:v>SA POLYTRAVAUX</x:v>
      </x:c>
      <x:c r="D784" s="33" t="str">
        <x:v>Evreux (27) Base aérienne 105- Travaux de rénovation de trois bâtiments de stockage pour le transfert de lESRTA - Menuiserie intérieure- cloisons- doublages- Faux-plafonds</x:v>
      </x:c>
      <x:c r="E784" s="33" t="str">
        <x:v>Modernisation d'installations.</x:v>
      </x:c>
      <x:c r="F784" s="36" t="n">
        <x:v>100137</x:v>
      </x:c>
      <x:c r="G784" s="38" t="n">
        <x:v>43434</x:v>
      </x:c>
      <x:c r="H784" s="38" t="n">
        <x:v>43434</x:v>
      </x:c>
      <x:c r="I784" s="40" t="n">
        <x:v>15</x:v>
      </x:c>
      <x:c r="J784" s="33" t="str">
        <x:v>Marché</x:v>
      </x:c>
      <x:c r="K784" s="33" t="str">
        <x:v>Appel d'offres ouvert</x:v>
      </x:c>
      <x:c r="L784" s="33" t="str">
        <x:v>Révisable</x:v>
      </x:c>
      <x:c r="M784" s="33" t="str">
        <x:v>(27) Eure</x:v>
      </x:c>
      <x:c r="N784" s="33" t="str">
        <x:v>Oui</x:v>
      </x:c>
      <x:c r="O784" s="33" t="str">
        <x:v>data.gouv.fr_aife</x:v>
      </x:c>
      <x:c r="P784" s="33" t="str">
        <x:v>2018100013116600</x:v>
      </x:c>
    </x:row>
    <x:row r="785">
      <x:c r="A785" s="33" t="str">
        <x:v>2018100013123700</x:v>
      </x:c>
      <x:c r="B785" s="33" t="str">
        <x:v>MINARM / SGA / SID / ESID Rennes - Etablissement du service d'infrastructure de la défense de Rennes - ESID Rennes</x:v>
      </x:c>
      <x:c r="C785" s="33" t="str">
        <x:v>EIFFAGE ENERGIE SYSTEMES - CLEVIA NORMANDIE</x:v>
      </x:c>
      <x:c r="D785" s="33" t="str">
        <x:v>Evreux (27) Base aérienne 105- Travaux de rénovation de trois bâtiments de stockage pour le transfert de lESRTA - Plomberie - Chauffage Ventilation</x:v>
      </x:c>
      <x:c r="E785" s="33" t="str">
        <x:v>Modernisation d'installations.</x:v>
      </x:c>
      <x:c r="F785" s="36" t="n">
        <x:v>171911</x:v>
      </x:c>
      <x:c r="G785" s="38" t="n">
        <x:v>43434</x:v>
      </x:c>
      <x:c r="H785" s="38" t="n">
        <x:v>43434</x:v>
      </x:c>
      <x:c r="I785" s="40" t="n">
        <x:v>15</x:v>
      </x:c>
      <x:c r="J785" s="33" t="str">
        <x:v>Marché</x:v>
      </x:c>
      <x:c r="K785" s="33" t="str">
        <x:v>Appel d'offres ouvert</x:v>
      </x:c>
      <x:c r="L785" s="33" t="str">
        <x:v>Révisable</x:v>
      </x:c>
      <x:c r="M785" s="33" t="str">
        <x:v>(27) Eure</x:v>
      </x:c>
      <x:c r="N785" s="33" t="str">
        <x:v>Oui</x:v>
      </x:c>
      <x:c r="O785" s="33" t="str">
        <x:v>data.gouv.fr_aife</x:v>
      </x:c>
      <x:c r="P785" s="33" t="str">
        <x:v>2018100013123700</x:v>
      </x:c>
    </x:row>
    <x:row r="786">
      <x:c r="A786" s="33" t="str">
        <x:v>2018100013128900</x:v>
      </x:c>
      <x:c r="B786" s="33" t="str">
        <x:v>MINARM / SGA / SID / ESID Rennes - Etablissement du service d'infrastructure de la défense de Rennes - ESID Rennes</x:v>
      </x:c>
      <x:c r="C786" s="33" t="str">
        <x:v>ETABLISSEMENTS DESORMEAUX</x:v>
      </x:c>
      <x:c r="D786" s="33" t="str">
        <x:v>Evreux (27) Base aérienne 105- Travaux de rénovation de trois bâtiments de stockage pour le transfert de lESRTA - Electricité Courants forts Courants faibles</x:v>
      </x:c>
      <x:c r="E786" s="33" t="str">
        <x:v>Modernisation d'installations.</x:v>
      </x:c>
      <x:c r="F786" s="36" t="n">
        <x:v>330429</x:v>
      </x:c>
      <x:c r="G786" s="38" t="n">
        <x:v>43434</x:v>
      </x:c>
      <x:c r="H786" s="38" t="n">
        <x:v>43434</x:v>
      </x:c>
      <x:c r="I786" s="40" t="n">
        <x:v>15</x:v>
      </x:c>
      <x:c r="J786" s="33" t="str">
        <x:v>Marché</x:v>
      </x:c>
      <x:c r="K786" s="33" t="str">
        <x:v>Appel d'offres ouvert</x:v>
      </x:c>
      <x:c r="L786" s="33" t="str">
        <x:v>Révisable</x:v>
      </x:c>
      <x:c r="M786" s="33" t="str">
        <x:v>(27) Eure</x:v>
      </x:c>
      <x:c r="N786" s="33" t="str">
        <x:v>Oui</x:v>
      </x:c>
      <x:c r="O786" s="33" t="str">
        <x:v>data.gouv.fr_aife</x:v>
      </x:c>
      <x:c r="P786" s="33" t="str">
        <x:v>2018100013128900</x:v>
      </x:c>
    </x:row>
    <x:row r="787">
      <x:c r="A787" s="33" t="str">
        <x:v>2018100013190900</x:v>
      </x:c>
      <x:c r="B787" s="33" t="str">
        <x:v>MINARM / SGA / SID / ESID Rennes - Etablissement du service d'infrastructure de la défense de Rennes - ESID Rennes</x:v>
      </x:c>
      <x:c r="C787" s="33" t="str">
        <x:v>ENTREPRISE GENERALE DENIS CONSTRUCTIONS</x:v>
      </x:c>
      <x:c r="D787" s="33" t="str">
        <x:v>FONTEVRAUD (49) - Ferme de Bellevue- Création zone de bivouac et travaux sur réseau d'assainissement - Gros œuvre/ Electricité</x:v>
      </x:c>
      <x:c r="E787" s="33" t="str">
        <x:v>Travaux d'assainissement.</x:v>
      </x:c>
      <x:c r="F787" s="36" t="n">
        <x:v>157300</x:v>
      </x:c>
      <x:c r="G787" s="38" t="n">
        <x:v>43434</x:v>
      </x:c>
      <x:c r="H787" s="38" t="n">
        <x:v>43434</x:v>
      </x:c>
      <x:c r="I787" s="40" t="n">
        <x:v>4</x:v>
      </x:c>
      <x:c r="J787" s="33" t="str">
        <x:v>Marché</x:v>
      </x:c>
      <x:c r="K787" s="33" t="str">
        <x:v>Appel d'offres ouvert</x:v>
      </x:c>
      <x:c r="L787" s="33" t="str">
        <x:v>Ferme et actualisable</x:v>
      </x:c>
      <x:c r="M787" s="33" t="str">
        <x:v>(49) Maine-et-Loire</x:v>
      </x:c>
      <x:c r="N787" s="33" t="str">
        <x:v>Oui</x:v>
      </x:c>
      <x:c r="O787" s="33" t="str">
        <x:v>data.gouv.fr_aife</x:v>
      </x:c>
      <x:c r="P787" s="33" t="str">
        <x:v>2018100013190900</x:v>
      </x:c>
    </x:row>
    <x:row r="788">
      <x:c r="A788" s="33" t="str">
        <x:v>20182018S0050900</x:v>
      </x:c>
      <x:c r="B788" s="33" t="str">
        <x:v>MINARM / ESTM / EPA / ISAE - Institut supérieur de l'aéronautique et de l'espace (ISAE)</x:v>
      </x:c>
      <x:c r="C788" s="33" t="str">
        <x:v>ANC CONSULTING</x:v>
      </x:c>
      <x:c r="D788" s="33" t="str">
        <x:v>Inventaire physique des biens de l'ISAE-SUPERO avec réconciliation physico-comptable</x:v>
      </x:c>
      <x:c r="E788" s="33" t="str">
        <x:v>Services de comptabilité et d'audit.</x:v>
      </x:c>
      <x:c r="F788" s="36" t="n">
        <x:v>140680</x:v>
      </x:c>
      <x:c r="G788" s="38" t="n">
        <x:v>43434</x:v>
      </x:c>
      <x:c r="H788" s="38" t="n">
        <x:v>43434</x:v>
      </x:c>
      <x:c r="I788" s="40" t="n">
        <x:v>42</x:v>
      </x:c>
      <x:c r="J788" s="33" t="str">
        <x:v>Marché</x:v>
      </x:c>
      <x:c r="K788" s="33" t="str">
        <x:v>Appel d'offres ouvert</x:v>
      </x:c>
      <x:c r="L788" s="33" t="str">
        <x:v>Révisable</x:v>
      </x:c>
      <x:c r="M788" s="33" t="str">
        <x:v>(31) Haute-Garonne</x:v>
      </x:c>
      <x:c r="N788" s="33" t="str">
        <x:v>Oui</x:v>
      </x:c>
      <x:c r="O788" s="33" t="str">
        <x:v>data.gouv.fr_aife</x:v>
      </x:c>
      <x:c r="P788" s="33" t="str">
        <x:v>20182018S0050900</x:v>
      </x:c>
    </x:row>
    <x:row r="789">
      <x:c r="A789" s="33" t="str">
        <x:v>2018130013972700</x:v>
      </x:c>
      <x:c r="B789" s="33" t="str">
        <x:v>MINARM / DIRISI / DIRISI Brest - Direction interarmées des réseaux d'infrastructure et des systèmes d'information - Brest</x:v>
      </x:c>
      <x:c r="C789" s="33" t="str">
        <x:v>ITNI</x:v>
      </x:c>
      <x:c r="D789" s="33" t="str">
        <x:v>Étude, fourniture, mise en œuvre, configuration, maintien en condition opérationnelle et l’évolution d’un système de protection d’accès et de sécurisation pour le quartier Médard à Strasbourg (67)</x:v>
      </x:c>
      <x:c r="E789" s="33" t="str">
        <x:v>Système de contrôle des accès.</x:v>
      </x:c>
      <x:c r="F789" s="36" t="n">
        <x:v>1314711</x:v>
      </x:c>
      <x:c r="G789" s="38" t="n">
        <x:v>43434</x:v>
      </x:c>
      <x:c r="H789" s="38" t="n">
        <x:v>43434</x:v>
      </x:c>
      <x:c r="I789" s="40" t="n">
        <x:v>60</x:v>
      </x:c>
      <x:c r="J789" s="33" t="str">
        <x:v>Marché subséquent</x:v>
      </x:c>
      <x:c r="K789" s="33" t="str"/>
      <x:c r="L789" s="33" t="str">
        <x:v>Révisable</x:v>
      </x:c>
      <x:c r="M789" s="33" t="str">
        <x:v>(67) Bas-Rhin</x:v>
      </x:c>
      <x:c r="N789" s="33" t="str">
        <x:v>Oui</x:v>
      </x:c>
      <x:c r="O789" s="33" t="str">
        <x:v>data.gouv.fr_aife</x:v>
      </x:c>
      <x:c r="P789" s="33" t="str">
        <x:v>2018130013972700</x:v>
      </x:c>
    </x:row>
    <x:row r="790">
      <x:c r="A790" s="33" t="str">
        <x:v>2018120005915400</x:v>
      </x:c>
      <x:c r="B790" s="33" t="str">
        <x:v>MINARM / SCA / PFC Sud - Plate-forme commissariat Sud (Toulon)</x:v>
      </x:c>
      <x:c r="C790" s="33" t="str">
        <x:v>MONDIAL PROTECTION</x:v>
      </x:c>
      <x:c r="D790" s="33" t="str">
        <x:v>MS SOCLE LOT 3: Prestations d'accueil, de filtrage, de gardiennage et de sécurité incendie au profit des armées, directions et services relevant de la base de défense de Lyon/Mont Verdun soutenue par la plate-forme achats-finances Centre-Est. - DESIGNAT</x:v>
      </x:c>
      <x:c r="E790" s="33" t="str">
        <x:v>Services de gardiennage.</x:v>
      </x:c>
      <x:c r="F790" s="36" t="n">
        <x:v>4755507</x:v>
      </x:c>
      <x:c r="G790" s="38" t="n">
        <x:v>43434</x:v>
      </x:c>
      <x:c r="H790" s="38" t="n">
        <x:v>43434</x:v>
      </x:c>
      <x:c r="I790" s="40" t="n">
        <x:v>36</x:v>
      </x:c>
      <x:c r="J790" s="33" t="str">
        <x:v>Marché subséquent</x:v>
      </x:c>
      <x:c r="K790" s="33" t="str">
        <x:v>Appel d'offres ouvert</x:v>
      </x:c>
      <x:c r="L790" s="33" t="str">
        <x:v>Révisable</x:v>
      </x:c>
      <x:c r="M790" s="33" t="str">
        <x:v>(42) Loire</x:v>
      </x:c>
      <x:c r="N790" s="33" t="str">
        <x:v>Oui</x:v>
      </x:c>
      <x:c r="O790" s="33" t="str">
        <x:v>data.gouv.fr_aife</x:v>
      </x:c>
      <x:c r="P790" s="33" t="str">
        <x:v>2018120005915400</x:v>
      </x:c>
    </x:row>
    <x:row r="791">
      <x:c r="A791" s="33" t="str">
        <x:v>2018110004409000</x:v>
      </x:c>
      <x:c r="B791" s="33" t="str">
        <x:v>MINARM / SGA / SID / ESID Rennes - Etablissement du service d'infrastructure de la défense de Rennes - ESID Rennes</x:v>
      </x:c>
      <x:c r="C791" s="33" t="str">
        <x:v>EIFFAGE ROUTE ILE DE FRANCE / CENTRE OUEST</x:v>
      </x:c>
      <x:c r="D791" s="33" t="str">
        <x:v>Evreux (27) Base aérienne 105- Travaux de rénovation de trois bâtiments de stockage pour le transfert de lESRTA - Voieries Réseaux divers</x:v>
      </x:c>
      <x:c r="E791" s="33" t="str">
        <x:v>Modernisation d'installations.</x:v>
      </x:c>
      <x:c r="F791" s="36" t="n">
        <x:v>689682</x:v>
      </x:c>
      <x:c r="G791" s="38" t="n">
        <x:v>43434</x:v>
      </x:c>
      <x:c r="H791" s="38" t="n">
        <x:v>43434</x:v>
      </x:c>
      <x:c r="I791" s="40" t="n">
        <x:v>15</x:v>
      </x:c>
      <x:c r="J791" s="33" t="str">
        <x:v>Marché</x:v>
      </x:c>
      <x:c r="K791" s="33" t="str">
        <x:v>Appel d'offres ouvert</x:v>
      </x:c>
      <x:c r="L791" s="33" t="str">
        <x:v>Révisable</x:v>
      </x:c>
      <x:c r="M791" s="33" t="str">
        <x:v>(27) Eure</x:v>
      </x:c>
      <x:c r="N791" s="33" t="str">
        <x:v>Oui</x:v>
      </x:c>
      <x:c r="O791" s="33" t="str">
        <x:v>data.gouv.fr_aife</x:v>
      </x:c>
      <x:c r="P791" s="33" t="str">
        <x:v>2018110004409000</x:v>
      </x:c>
    </x:row>
    <x:row r="792">
      <x:c r="A792" s="33" t="str">
        <x:v>2018120005880200</x:v>
      </x:c>
      <x:c r="B792" s="33" t="str">
        <x:v>MINARM / SCA / PFC Sud - Plate-forme commissariat Sud (Toulon)</x:v>
      </x:c>
      <x:c r="C792" s="33" t="str">
        <x:v>HEXA NET</x:v>
      </x:c>
      <x:c r="D792" s="33" t="str">
        <x:v>Nettoyage des locaux et de la vitrerie situés au centre marine de JOUQUES CADARACHE</x:v>
      </x:c>
      <x:c r="E792" s="33" t="str">
        <x:v>Services de nettoyage.</x:v>
      </x:c>
      <x:c r="F792" s="36" t="n">
        <x:v>41087</x:v>
      </x:c>
      <x:c r="G792" s="38" t="n">
        <x:v>43434</x:v>
      </x:c>
      <x:c r="H792" s="38" t="n">
        <x:v>43434</x:v>
      </x:c>
      <x:c r="I792" s="40" t="n">
        <x:v>24</x:v>
      </x:c>
      <x:c r="J792" s="33" t="str">
        <x:v>Marché</x:v>
      </x:c>
      <x:c r="K792" s="33" t="str">
        <x:v>Appel d'offres ouvert</x:v>
      </x:c>
      <x:c r="L792" s="33" t="str">
        <x:v>Révisable</x:v>
      </x:c>
      <x:c r="M792" s="33" t="str">
        <x:v>(13) Bouches-du-Rhône</x:v>
      </x:c>
      <x:c r="N792" s="33" t="str">
        <x:v>Oui</x:v>
      </x:c>
      <x:c r="O792" s="33" t="str">
        <x:v>data.gouv.fr_aife</x:v>
      </x:c>
      <x:c r="P792" s="33" t="str">
        <x:v>2018120005880200</x:v>
      </x:c>
    </x:row>
    <x:row r="793">
      <x:c r="A793" s="33" t="str">
        <x:v>2018120005924000</x:v>
      </x:c>
      <x:c r="B793" s="33" t="str">
        <x:v>MINARM / SCA / PFC Sud - Plate-forme commissariat Sud (Toulon)</x:v>
      </x:c>
      <x:c r="C793" s="33" t="str">
        <x:v>SAMSIC SECURITE</x:v>
      </x:c>
      <x:c r="D793" s="33" t="str">
        <x:v>MS SOCLE LOT 11 : Prestations d'accueil, de filtrage, de gardiennage et de sécurité incendie au profit des armées, directions et services relevant des bases de défense de Toulouse et Montauban soutenues par la PFAF Sud-Ouest à Bordeaux. - -DESIGNATION</x:v>
      </x:c>
      <x:c r="E793" s="33" t="str">
        <x:v>Services de gardiennage.</x:v>
      </x:c>
      <x:c r="F793" s="36" t="n">
        <x:v>1658032</x:v>
      </x:c>
      <x:c r="G793" s="38" t="n">
        <x:v>43434</x:v>
      </x:c>
      <x:c r="H793" s="38" t="n">
        <x:v>43434</x:v>
      </x:c>
      <x:c r="I793" s="40" t="n">
        <x:v>36</x:v>
      </x:c>
      <x:c r="J793" s="33" t="str">
        <x:v>Marché subséquent</x:v>
      </x:c>
      <x:c r="K793" s="33" t="str">
        <x:v>Appel d'offres ouvert</x:v>
      </x:c>
      <x:c r="L793" s="33" t="str">
        <x:v>Révisable</x:v>
      </x:c>
      <x:c r="M793" s="33" t="str">
        <x:v>(47) Lot-et-Garonne</x:v>
      </x:c>
      <x:c r="N793" s="33" t="str">
        <x:v>Oui</x:v>
      </x:c>
      <x:c r="O793" s="33" t="str">
        <x:v>data.gouv.fr_aife</x:v>
      </x:c>
      <x:c r="P793" s="33" t="str">
        <x:v>2018120005924000</x:v>
      </x:c>
    </x:row>
    <x:row r="794">
      <x:c r="A794" s="33" t="str">
        <x:v>2018120005942200</x:v>
      </x:c>
      <x:c r="B794" s="33" t="str">
        <x:v>MINARM / SCA / PFC Sud - Plate-forme commissariat Sud (Toulon)</x:v>
      </x:c>
      <x:c r="C794" s="33" t="str">
        <x:v>AVC INTERVENTION</x:v>
      </x:c>
      <x:c r="D794" s="33" t="str">
        <x:v>MS SOCLE LOT 6 : Prestations d'accueil, de filtrage, de gardiennage et de sécurité incendie au profit des armées, directions et services relevant de la base de défense de Tours soutenue par la plate-forme achats-finances Centre-Ouest à Rennes. - -DESI</x:v>
      </x:c>
      <x:c r="E794" s="33" t="str">
        <x:v>Services de gardiennage.</x:v>
      </x:c>
      <x:c r="F794" s="36" t="n">
        <x:v>3479888</x:v>
      </x:c>
      <x:c r="G794" s="38" t="n">
        <x:v>43434</x:v>
      </x:c>
      <x:c r="H794" s="38" t="n">
        <x:v>43434</x:v>
      </x:c>
      <x:c r="I794" s="40" t="n">
        <x:v>36</x:v>
      </x:c>
      <x:c r="J794" s="33" t="str">
        <x:v>Marché subséquent</x:v>
      </x:c>
      <x:c r="K794" s="33" t="str">
        <x:v>Appel d'offres ouvert</x:v>
      </x:c>
      <x:c r="L794" s="33" t="str">
        <x:v>Révisable</x:v>
      </x:c>
      <x:c r="M794" s="33" t="str">
        <x:v>(41) Loir-et-Cher</x:v>
      </x:c>
      <x:c r="N794" s="33" t="str">
        <x:v>Oui</x:v>
      </x:c>
      <x:c r="O794" s="33" t="str">
        <x:v>data.gouv.fr_aife</x:v>
      </x:c>
      <x:c r="P794" s="33" t="str">
        <x:v>2018120005942200</x:v>
      </x:c>
    </x:row>
    <x:row r="795">
      <x:c r="A795" s="33" t="str">
        <x:v>2018130013891900</x:v>
      </x:c>
      <x:c r="B795" s="33" t="str">
        <x:v>"MINARM / SCA / PFC RBT / CIEC - Centre interarmées du soutien équipements commissariat"""""</x:v>
      </x:c>
      <x:c r="C795" s="33" t="str">
        <x:v>PRO A PRO DISTRIBUTION SUD</x:v>
      </x:c>
      <x:c r="D795" s="33" t="str">
        <x:v>Fourniture d'ensembles petit-déjeuner (café, thé, boisson cacaotée lactée, sucre, sel, poivre).</x:v>
      </x:c>
      <x:c r="E795" s="33" t="str">
        <x:v>Café, thé et produits connexes.</x:v>
      </x:c>
      <x:c r="F795" s="36" t="n">
        <x:v>5526300</x:v>
      </x:c>
      <x:c r="G795" s="38" t="n">
        <x:v>43434</x:v>
      </x:c>
      <x:c r="H795" s="38" t="n">
        <x:v>43434</x:v>
      </x:c>
      <x:c r="I795" s="40" t="n">
        <x:v>48</x:v>
      </x:c>
      <x:c r="J795" s="33" t="str">
        <x:v>Accord-cadre</x:v>
      </x:c>
      <x:c r="K795" s="33" t="str">
        <x:v>Appel d'offres ouvert</x:v>
      </x:c>
      <x:c r="L795" s="33" t="str">
        <x:v>Révisable</x:v>
      </x:c>
      <x:c r="M795" s="33" t="str">
        <x:v>(49) Maine-et-Loire</x:v>
      </x:c>
      <x:c r="N795" s="33" t="str">
        <x:v>Oui</x:v>
      </x:c>
      <x:c r="O795" s="33" t="str">
        <x:v>data.gouv.fr_aife</x:v>
      </x:c>
      <x:c r="P795" s="33" t="str">
        <x:v>2018130013891900</x:v>
      </x:c>
    </x:row>
    <x:row r="796">
      <x:c r="A796" s="33" t="str">
        <x:v>2018130013894800</x:v>
      </x:c>
      <x:c r="B796" s="33" t="str">
        <x:v>"MINARM / SCA / PFC RBT / CIEC - Centre interarmées du soutien équipements commissariat"""""</x:v>
      </x:c>
      <x:c r="C796" s="33" t="str">
        <x:v>TITOK DISTRIBUTION</x:v>
      </x:c>
      <x:c r="D796" s="33" t="str">
        <x:v>Fourniture d'ensembles petit-déjeuner (café, thé, boisson cacaotée lactée, sucre, sel, poivre).</x:v>
      </x:c>
      <x:c r="E796" s="33" t="str">
        <x:v>Café, thé et produits connexes.</x:v>
      </x:c>
      <x:c r="F796" s="36" t="n">
        <x:v>2210520</x:v>
      </x:c>
      <x:c r="G796" s="38" t="n">
        <x:v>43434</x:v>
      </x:c>
      <x:c r="H796" s="38" t="n">
        <x:v>43434</x:v>
      </x:c>
      <x:c r="I796" s="40" t="n">
        <x:v>48</x:v>
      </x:c>
      <x:c r="J796" s="33" t="str">
        <x:v>Accord-cadre</x:v>
      </x:c>
      <x:c r="K796" s="33" t="str">
        <x:v>Appel d'offres ouvert</x:v>
      </x:c>
      <x:c r="L796" s="33" t="str">
        <x:v>Révisable</x:v>
      </x:c>
      <x:c r="M796" s="33" t="str">
        <x:v>(49) Maine-et-Loire</x:v>
      </x:c>
      <x:c r="N796" s="33" t="str">
        <x:v>Oui</x:v>
      </x:c>
      <x:c r="O796" s="33" t="str">
        <x:v>data.gouv.fr_aife</x:v>
      </x:c>
      <x:c r="P796" s="33" t="str">
        <x:v>2018130013894800</x:v>
      </x:c>
    </x:row>
    <x:row r="797">
      <x:c r="A797" s="33" t="str">
        <x:v>2018170009022800</x:v>
      </x:c>
      <x:c r="B797" s="33" t="str">
        <x:v>MINARM / SGA / SPAC - Service Parisien de Soutien de l'Administration Centrale - SPAC</x:v>
      </x:c>
      <x:c r="C797" s="33" t="str">
        <x:v>ASSOCIATION GROUPE ESSEC</x:v>
      </x:c>
      <x:c r="D797" s="33" t="str">
        <x:v>Réalisation de formations intitulées "Négociation avec les partenaires sociaux" au profit du centre de formation au management du ministère de la défense (CFMD)</x:v>
      </x:c>
      <x:c r="E797" s="33" t="str">
        <x:v>Services de formation professionnelle.</x:v>
      </x:c>
      <x:c r="F797" s="36" t="n">
        <x:v>41600</x:v>
      </x:c>
      <x:c r="G797" s="38" t="n">
        <x:v>43434</x:v>
      </x:c>
      <x:c r="H797" s="38" t="n">
        <x:v>43434</x:v>
      </x:c>
      <x:c r="I797" s="40" t="n">
        <x:v>48</x:v>
      </x:c>
      <x:c r="J797" s="33" t="str">
        <x:v>Accord-cadre</x:v>
      </x:c>
      <x:c r="K797" s="33" t="str">
        <x:v>Procédure adaptée</x:v>
      </x:c>
      <x:c r="L797" s="33" t="str">
        <x:v>Révisable</x:v>
      </x:c>
      <x:c r="M797" s="33" t="str">
        <x:v>(75) Paris</x:v>
      </x:c>
      <x:c r="N797" s="33" t="str">
        <x:v>Oui</x:v>
      </x:c>
      <x:c r="O797" s="33" t="str">
        <x:v>data.gouv.fr_aife</x:v>
      </x:c>
      <x:c r="P797" s="33" t="str">
        <x:v>2018170009022800</x:v>
      </x:c>
    </x:row>
    <x:row r="798">
      <x:c r="A798" s="33" t="str">
        <x:v>2018150913251100</x:v>
      </x:c>
      <x:c r="B798" s="33" t="str">
        <x:v>MINARM / SGA / DSNJ - Direction du Service National et de la Jeunesse - DSNJ</x:v>
      </x:c>
      <x:c r="C798" s="33" t="str">
        <x:v>TRANSDEV POITOU-CHARENTES</x:v>
      </x:c>
      <x:c r="D798" s="33" t="str">
        <x:v>Transport par autocar de l'équipe encadrante et des jeunes administrés convoqués à la Journée Défense et Citoyenneté (JDC) par les Centres du Service National - CSN Poitiers Site de la BA 709</x:v>
      </x:c>
      <x:c r="E798" s="33" t="str">
        <x:v>Transport non régulier de passagers.</x:v>
      </x:c>
      <x:c r="F798" s="36" t="n">
        <x:v>9792</x:v>
      </x:c>
      <x:c r="G798" s="38" t="n">
        <x:v>43434</x:v>
      </x:c>
      <x:c r="H798" s="38" t="n">
        <x:v>43434</x:v>
      </x:c>
      <x:c r="I798" s="40" t="n">
        <x:v>36</x:v>
      </x:c>
      <x:c r="J798" s="33" t="str">
        <x:v>Marché</x:v>
      </x:c>
      <x:c r="K798" s="33" t="str">
        <x:v>Procédure adaptée</x:v>
      </x:c>
      <x:c r="L798" s="33" t="str">
        <x:v>Révisable</x:v>
      </x:c>
      <x:c r="M798" s="33" t="str">
        <x:v>(64) Pyrénées-Atlantiques</x:v>
      </x:c>
      <x:c r="N798" s="33" t="str">
        <x:v>Oui</x:v>
      </x:c>
      <x:c r="O798" s="33" t="str">
        <x:v>data.gouv.fr_aife</x:v>
      </x:c>
      <x:c r="P798" s="33" t="str">
        <x:v>2018150913251100</x:v>
      </x:c>
    </x:row>
    <x:row r="799">
      <x:c r="A799" s="33" t="str">
        <x:v>2018100013135300</x:v>
      </x:c>
      <x:c r="B799" s="33" t="str">
        <x:v>MINARM / SGA / SID / ESID Rennes - Etablissement du service d'infrastructure de la défense de Rennes - ESID Rennes</x:v>
      </x:c>
      <x:c r="C799" s="33" t="str">
        <x:v>FAC'OUEST</x:v>
      </x:c>
      <x:c r="D799" s="33" t="str">
        <x:v>Evreux (27) Base aérienne 105- Travaux de rénovation de trois bâtiments de stockage pour le transfert de lESRTA - Isolation Thermique par lExtérieur Bardage Métallerie Menuiseries extérieures PVC</x:v>
      </x:c>
      <x:c r="E799" s="33" t="str">
        <x:v>Modernisation d'installations.</x:v>
      </x:c>
      <x:c r="F799" s="36" t="n">
        <x:v>734721</x:v>
      </x:c>
      <x:c r="G799" s="38" t="n">
        <x:v>43434</x:v>
      </x:c>
      <x:c r="H799" s="38" t="n">
        <x:v>43434</x:v>
      </x:c>
      <x:c r="I799" s="40" t="n">
        <x:v>15</x:v>
      </x:c>
      <x:c r="J799" s="33" t="str">
        <x:v>Marché</x:v>
      </x:c>
      <x:c r="K799" s="33" t="str">
        <x:v>Appel d'offres ouvert</x:v>
      </x:c>
      <x:c r="L799" s="33" t="str">
        <x:v>Révisable</x:v>
      </x:c>
      <x:c r="M799" s="33" t="str">
        <x:v>(27) Eure</x:v>
      </x:c>
      <x:c r="N799" s="33" t="str">
        <x:v>Oui</x:v>
      </x:c>
      <x:c r="O799" s="33" t="str">
        <x:v>data.gouv.fr_aife</x:v>
      </x:c>
      <x:c r="P799" s="33" t="str">
        <x:v>2018100013135300</x:v>
      </x:c>
    </x:row>
    <x:row r="800">
      <x:c r="A800" s="33" t="str">
        <x:v>2018100013179000</x:v>
      </x:c>
      <x:c r="B800" s="33" t="str">
        <x:v>MINARM / SGA / SID / ESID Rennes - Etablissement du service d'infrastructure de la défense de Rennes - ESID Rennes</x:v>
      </x:c>
      <x:c r="C800" s="33" t="str">
        <x:v>ETABLISSEMENTS DOLPIERRE</x:v>
      </x:c>
      <x:c r="D800" s="33" t="str">
        <x:v>Evreux (27) Base aérienne 105- Travaux de rénovation de trois bâtiments de stockage pour le transfert de l’ESRTA - Lot 7: Carrelage – Faïence - Peinture -</x:v>
      </x:c>
      <x:c r="E800" s="33" t="str">
        <x:v>Modernisation d'installations.</x:v>
      </x:c>
      <x:c r="F800" s="36" t="n">
        <x:v>90712</x:v>
      </x:c>
      <x:c r="G800" s="38" t="n">
        <x:v>43434</x:v>
      </x:c>
      <x:c r="H800" s="38" t="n">
        <x:v>43434</x:v>
      </x:c>
      <x:c r="I800" s="40" t="n">
        <x:v>15</x:v>
      </x:c>
      <x:c r="J800" s="33" t="str">
        <x:v>Marché</x:v>
      </x:c>
      <x:c r="K800" s="33" t="str">
        <x:v>Appel d'offres ouvert</x:v>
      </x:c>
      <x:c r="L800" s="33" t="str">
        <x:v>Révisable</x:v>
      </x:c>
      <x:c r="M800" s="33" t="str">
        <x:v>(27) Eure</x:v>
      </x:c>
      <x:c r="N800" s="33" t="str">
        <x:v>Oui</x:v>
      </x:c>
      <x:c r="O800" s="33" t="str">
        <x:v>data.gouv.fr_aife</x:v>
      </x:c>
      <x:c r="P800" s="33" t="str">
        <x:v>2018100013179000</x:v>
      </x:c>
    </x:row>
    <x:row r="801">
      <x:c r="A801" s="33" t="str">
        <x:v>2018100013203100</x:v>
      </x:c>
      <x:c r="B801" s="33" t="str">
        <x:v>MINARM / SGA / SID / ESID BREST - Etablissement du service d'infrastructure de la défense de BREST - ESID Brest</x:v>
      </x:c>
      <x:c r="C801" s="33" t="str">
        <x:v>ENTREPRISE MARC SA</x:v>
      </x:c>
      <x:c r="D801" s="33" t="str">
        <x:v>Marché subséquent en application de l'Accord-Cadre 2016 BSTSAI 0614 du 20/10/2016 pour la réalisation de travaux de voirie et réseaux divers et aménagements extérieurs sur les sites de la base de Défense de Brest-Lorient</x:v>
      </x:c>
      <x:c r="E801" s="33" t="str">
        <x:v>Travaux relatifs aux conduites d'alimentation en eau.</x:v>
      </x:c>
      <x:c r="F801" s="36" t="n">
        <x:v>279695</x:v>
      </x:c>
      <x:c r="G801" s="38" t="n">
        <x:v>43434</x:v>
      </x:c>
      <x:c r="H801" s="38" t="n">
        <x:v>43434</x:v>
      </x:c>
      <x:c r="I801" s="40" t="n">
        <x:v>5</x:v>
      </x:c>
      <x:c r="J801" s="33" t="str">
        <x:v>Marché subséquent</x:v>
      </x:c>
      <x:c r="K801" s="33" t="str">
        <x:v>Appel d'offres ouvert</x:v>
      </x:c>
      <x:c r="L801" s="33" t="str">
        <x:v>Ferme et actualisable</x:v>
      </x:c>
      <x:c r="M801" s="33" t="str">
        <x:v>(29) Finistère</x:v>
      </x:c>
      <x:c r="N801" s="33" t="str">
        <x:v>Oui</x:v>
      </x:c>
      <x:c r="O801" s="33" t="str">
        <x:v>data.gouv.fr_aife</x:v>
      </x:c>
      <x:c r="P801" s="33" t="str">
        <x:v>2018100013203100</x:v>
      </x:c>
    </x:row>
    <x:row r="802">
      <x:c r="A802" s="33" t="str">
        <x:v>2018150914758600</x:v>
      </x:c>
      <x:c r="B802" s="33" t="str">
        <x:v>MINARM / SGA / SID / ESID Metz - Etablissement du service d'infrastructure de la défense de Metz - ESID Metz</x:v>
      </x:c>
      <x:c r="C802" s="33" t="str">
        <x:v>SAI</x:v>
      </x:c>
      <x:c r="D802" s="33" t="str">
        <x:v>2018-USID02-18S-873-bis ILLKIRCH (Bas-Rhin) Quartier Leclerc-Bâtiment 030-Remplacement et réparation des portes accordéons</x:v>
      </x:c>
      <x:c r="E802" s="33" t="str">
        <x:v>Portes-fenêtres.</x:v>
      </x:c>
      <x:c r="F802" s="36" t="n">
        <x:v>26900</x:v>
      </x:c>
      <x:c r="G802" s="38" t="n">
        <x:v>43434</x:v>
      </x:c>
      <x:c r="H802" s="38" t="n">
        <x:v>43434</x:v>
      </x:c>
      <x:c r="I802" s="40" t="n">
        <x:v>3</x:v>
      </x:c>
      <x:c r="J802" s="33" t="str">
        <x:v>Marché</x:v>
      </x:c>
      <x:c r="K802" s="33" t="str"/>
      <x:c r="L802" s="33" t="str">
        <x:v>Ferme et actualisable</x:v>
      </x:c>
      <x:c r="M802" s="33" t="str">
        <x:v>(67) Bas-Rhin</x:v>
      </x:c>
      <x:c r="N802" s="33" t="str">
        <x:v>Oui</x:v>
      </x:c>
      <x:c r="O802" s="33" t="str">
        <x:v>data.gouv.fr_aife</x:v>
      </x:c>
      <x:c r="P802" s="33" t="str">
        <x:v>2018150914758600</x:v>
      </x:c>
    </x:row>
    <x:row r="803">
      <x:c r="A803" s="33" t="str">
        <x:v>2018100013197200</x:v>
      </x:c>
      <x:c r="B803" s="33" t="str">
        <x:v>MINARM / SCA / PFC Paris - Plate-forme commissariat Paris (Saint-Germain-en-Laye)</x:v>
      </x:c>
      <x:c r="C803" s="33" t="str">
        <x:v>CD3M</x:v>
      </x:c>
      <x:c r="D803" s="33" t="str">
        <x:v>Réalisation et livraison de fanions et de hampes au profit d’organismes soutenus par les GSBdD de Creil, Evreux, Lille, Montlhéry, Orléans, Paris, Saint-Germain-en-Laye, Versailles, Villacoublay et Vincennes.</x:v>
      </x:c>
      <x:c r="E803" s="33" t="str">
        <x:v>Drapeaux.</x:v>
      </x:c>
      <x:c r="F803" s="36" t="n">
        <x:v>8827</x:v>
      </x:c>
      <x:c r="G803" s="38" t="n">
        <x:v>43434</x:v>
      </x:c>
      <x:c r="H803" s="38" t="n">
        <x:v>43434</x:v>
      </x:c>
      <x:c r="I803" s="40" t="n">
        <x:v>6</x:v>
      </x:c>
      <x:c r="J803" s="33" t="str">
        <x:v>Marché subséquent</x:v>
      </x:c>
      <x:c r="K803" s="33" t="str">
        <x:v>Appel d'offres ouvert</x:v>
      </x:c>
      <x:c r="L803" s="33" t="str">
        <x:v>Ferme</x:v>
      </x:c>
      <x:c r="M803" s="33" t="str">
        <x:v>(02) Aisne</x:v>
      </x:c>
      <x:c r="N803" s="33" t="str">
        <x:v>Oui</x:v>
      </x:c>
      <x:c r="O803" s="33" t="str">
        <x:v>data.gouv.fr_aife</x:v>
      </x:c>
      <x:c r="P803" s="33" t="str">
        <x:v>2018100013197200</x:v>
      </x:c>
    </x:row>
    <x:row r="804">
      <x:c r="A804" s="33" t="str">
        <x:v>2018130013902200</x:v>
      </x:c>
      <x:c r="B804" s="33" t="str">
        <x:v>"MINARM / SCA / PFC RBT / CIEC - Centre interarmées du soutien équipements commissariat"""""</x:v>
      </x:c>
      <x:c r="C804" s="33" t="str">
        <x:v>SOCIETE DE RECHERCHES ET DE DIFFUSION</x:v>
      </x:c>
      <x:c r="D804" s="33" t="str">
        <x:v>Fourniture d'ensembles petit-déjeuner (café, thé, boisson cacaotée lactée, sucre, sel, poivre).</x:v>
      </x:c>
      <x:c r="E804" s="33" t="str">
        <x:v>Café, thé et produits connexes.</x:v>
      </x:c>
      <x:c r="F804" s="36" t="n">
        <x:v>3315780</x:v>
      </x:c>
      <x:c r="G804" s="38" t="n">
        <x:v>43434</x:v>
      </x:c>
      <x:c r="H804" s="38" t="n">
        <x:v>43434</x:v>
      </x:c>
      <x:c r="I804" s="40" t="n">
        <x:v>48</x:v>
      </x:c>
      <x:c r="J804" s="33" t="str">
        <x:v>Accord-cadre</x:v>
      </x:c>
      <x:c r="K804" s="33" t="str">
        <x:v>Appel d'offres ouvert</x:v>
      </x:c>
      <x:c r="L804" s="33" t="str">
        <x:v>Révisable</x:v>
      </x:c>
      <x:c r="M804" s="33" t="str">
        <x:v>(49) Maine-et-Loire</x:v>
      </x:c>
      <x:c r="N804" s="33" t="str">
        <x:v>Oui</x:v>
      </x:c>
      <x:c r="O804" s="33" t="str">
        <x:v>data.gouv.fr_aife</x:v>
      </x:c>
      <x:c r="P804" s="33" t="str">
        <x:v>2018130013902200</x:v>
      </x:c>
    </x:row>
    <x:row r="805">
      <x:c r="A805" s="33" t="str">
        <x:v>2018100013192900</x:v>
      </x:c>
      <x:c r="B805" s="33" t="str">
        <x:v>MINARM / DGA / DO / S2A / PROD / DA-SE / DA-SE-IS - Site Istres</x:v>
      </x:c>
      <x:c r="C805" s="33" t="str">
        <x:v>AZUR SYSTEMES</x:v>
      </x:c>
      <x:c r="D805" s="33" t="str">
        <x:v>Fourniture de matériels de type calculateurs embarqués, interfaces coupleurs, composants ou périphériques au profit du site d'Istres et d'une formation au profit du site de Cazaux.</x:v>
      </x:c>
      <x:c r="E805" s="33" t="str">
        <x:v>Machines de traitement des données (matériel).</x:v>
      </x:c>
      <x:c r="F805" s="36" t="n">
        <x:v>313672</x:v>
      </x:c>
      <x:c r="G805" s="38" t="n">
        <x:v>43434</x:v>
      </x:c>
      <x:c r="H805" s="38" t="n">
        <x:v>43434</x:v>
      </x:c>
      <x:c r="I805" s="40" t="n">
        <x:v>6</x:v>
      </x:c>
      <x:c r="J805" s="33" t="str"/>
      <x:c r="K805" s="33" t="str"/>
      <x:c r="L805" s="33" t="str">
        <x:v>Ferme</x:v>
      </x:c>
      <x:c r="M805" s="33" t="str">
        <x:v>(13) Bouches-du-Rhône</x:v>
      </x:c>
      <x:c r="N805" s="33" t="str">
        <x:v>Oui</x:v>
      </x:c>
      <x:c r="O805" s="33" t="str">
        <x:v>data.gouv.fr_aife</x:v>
      </x:c>
      <x:c r="P805" s="33" t="str">
        <x:v>2018100013192900</x:v>
      </x:c>
    </x:row>
    <x:row r="806">
      <x:c r="A806" s="33" t="str">
        <x:v>2018100013217800</x:v>
      </x:c>
      <x:c r="B806" s="33" t="str">
        <x:v>MINARM / SSF / DSSF Toulon - Direction du service de soutien de la flotte de Toulon - DSSF Toulon</x:v>
      </x:c>
      <x:c r="C806" s="33" t="str">
        <x:v>LE LITTORAL</x:v>
      </x:c>
      <x:c r="D806" s="33" t="str">
        <x:v>Accord cadre N° 2016 M 16 T 20 010 relatif à l’approvisionnement de matériels électriques et électroniques pour le maintien en condition opérationnelle (MCO) des Eléments de Force Maritime (EFM) et des Eléments de Force Armées (EFA). - Marché su</x:v>
      </x:c>
      <x:c r="E806" s="33" t="str">
        <x:v>Pièces électroniques et électriques de rechange pour navires de guerre.</x:v>
      </x:c>
      <x:c r="F806" s="36" t="n">
        <x:v>14046</x:v>
      </x:c>
      <x:c r="G806" s="38" t="n">
        <x:v>43434</x:v>
      </x:c>
      <x:c r="H806" s="38" t="n">
        <x:v>43434</x:v>
      </x:c>
      <x:c r="I806" s="40" t="n">
        <x:v>4</x:v>
      </x:c>
      <x:c r="J806" s="33" t="str">
        <x:v>Marché subséquent</x:v>
      </x:c>
      <x:c r="K806" s="33" t="str">
        <x:v>Appel d'offres ouvert</x:v>
      </x:c>
      <x:c r="L806" s="33" t="str">
        <x:v>Ferme et actualisable</x:v>
      </x:c>
      <x:c r="M806" s="33" t="str">
        <x:v>(83) Var</x:v>
      </x:c>
      <x:c r="N806" s="33" t="str">
        <x:v>Oui</x:v>
      </x:c>
      <x:c r="O806" s="33" t="str">
        <x:v>data.gouv.fr_aife</x:v>
      </x:c>
      <x:c r="P806" s="33" t="str">
        <x:v>2018100013217800</x:v>
      </x:c>
    </x:row>
    <x:row r="807">
      <x:c r="A807" s="33" t="str">
        <x:v>2018100013243800</x:v>
      </x:c>
      <x:c r="B807" s="33" t="str">
        <x:v>MINARM / SGA / SID / ESID Bordeaux - Etablissement du service d'infrastructure de la défense de Bordeaux - ESID Bordeaux</x:v>
      </x:c>
      <x:c r="C807" s="33" t="str">
        <x:v>EIFFAGE CONSTRUCTION MIDI PYRENEES</x:v>
      </x:c>
      <x:c r="D807" s="33" t="str">
        <x:v>Réfection des blocs sanitaires et des gaines techniques des bâtiments 102 et 103 du 14ème Régiment d’Infanterie et de Soutien Logistique Parachutiste. Quartier Pradère - Toulouse</x:v>
      </x:c>
      <x:c r="E807" s="33" t="str">
        <x:v>Travaux de construction de bâtiments et d'installations militaires.</x:v>
      </x:c>
      <x:c r="F807" s="36" t="n">
        <x:v>765824</x:v>
      </x:c>
      <x:c r="G807" s="38" t="n">
        <x:v>43434</x:v>
      </x:c>
      <x:c r="H807" s="38" t="n">
        <x:v>43434</x:v>
      </x:c>
      <x:c r="I807" s="40" t="n">
        <x:v>8</x:v>
      </x:c>
      <x:c r="J807" s="33" t="str">
        <x:v>Marché</x:v>
      </x:c>
      <x:c r="K807" s="33" t="str">
        <x:v>Procédure adaptée</x:v>
      </x:c>
      <x:c r="L807" s="33" t="str">
        <x:v>Ferme et actualisable</x:v>
      </x:c>
      <x:c r="M807" s="33" t="str">
        <x:v>(31) Haute-Garonne</x:v>
      </x:c>
      <x:c r="N807" s="33" t="str">
        <x:v>Oui</x:v>
      </x:c>
      <x:c r="O807" s="33" t="str">
        <x:v>data.gouv.fr_aife</x:v>
      </x:c>
      <x:c r="P807" s="33" t="str">
        <x:v>2018100013243800</x:v>
      </x:c>
    </x:row>
    <x:row r="808">
      <x:c r="A808" s="33" t="str">
        <x:v>2018100013124600</x:v>
      </x:c>
      <x:c r="B808" s="33" t="str">
        <x:v>MINARM / SGA / SID / ESID Rennes - Etablissement du service d'infrastructure de la défense de Rennes - ESID Rennes</x:v>
      </x:c>
      <x:c r="C808" s="33" t="str">
        <x:v>RENARD</x:v>
      </x:c>
      <x:c r="D808" s="33" t="str">
        <x:v>Evreux (27) Base aérienne 105- Travaux de rénovation de trois bâtiments de stockage pour le transfert de lESRTA - Couverture - Charpente</x:v>
      </x:c>
      <x:c r="E808" s="33" t="str">
        <x:v>Modernisation d'installations.</x:v>
      </x:c>
      <x:c r="F808" s="36" t="n">
        <x:v>1613738</x:v>
      </x:c>
      <x:c r="G808" s="38" t="n">
        <x:v>43434</x:v>
      </x:c>
      <x:c r="H808" s="38" t="n">
        <x:v>43434</x:v>
      </x:c>
      <x:c r="I808" s="40" t="n">
        <x:v>15</x:v>
      </x:c>
      <x:c r="J808" s="33" t="str">
        <x:v>Marché</x:v>
      </x:c>
      <x:c r="K808" s="33" t="str">
        <x:v>Appel d'offres ouvert</x:v>
      </x:c>
      <x:c r="L808" s="33" t="str">
        <x:v>Révisable</x:v>
      </x:c>
      <x:c r="M808" s="33" t="str">
        <x:v>(27) Eure</x:v>
      </x:c>
      <x:c r="N808" s="33" t="str">
        <x:v>Oui</x:v>
      </x:c>
      <x:c r="O808" s="33" t="str">
        <x:v>data.gouv.fr_aife</x:v>
      </x:c>
      <x:c r="P808" s="33" t="str">
        <x:v>2018100013124600</x:v>
      </x:c>
    </x:row>
    <x:row r="809">
      <x:c r="A809" s="33" t="str">
        <x:v>2018150912815300</x:v>
      </x:c>
      <x:c r="B809" s="33" t="str">
        <x:v>MINARM / SGA / SID / ESID Rennes - Etablissement du service d'infrastructure de la défense de Rennes - ESID Rennes</x:v>
      </x:c>
      <x:c r="C809" s="33" t="str">
        <x:v>OPURE</x:v>
      </x:c>
      <x:c r="D809" s="33" t="str">
        <x:v>FONTEVRAUD (49) - Ferme de Bellevue- Création zone de bivouac et travaux sur réseau d'assainissement - Assainissement individuel</x:v>
      </x:c>
      <x:c r="E809" s="33" t="str">
        <x:v>Travaux d'assainissement.</x:v>
      </x:c>
      <x:c r="F809" s="36" t="n">
        <x:v>217014</x:v>
      </x:c>
      <x:c r="G809" s="38" t="n">
        <x:v>43434</x:v>
      </x:c>
      <x:c r="H809" s="38" t="n">
        <x:v>43434</x:v>
      </x:c>
      <x:c r="I809" s="40" t="n">
        <x:v>4</x:v>
      </x:c>
      <x:c r="J809" s="33" t="str">
        <x:v>Marché</x:v>
      </x:c>
      <x:c r="K809" s="33" t="str">
        <x:v>Appel d'offres ouvert</x:v>
      </x:c>
      <x:c r="L809" s="33" t="str">
        <x:v>Ferme et actualisable</x:v>
      </x:c>
      <x:c r="M809" s="33" t="str">
        <x:v>(49) Maine-et-Loire</x:v>
      </x:c>
      <x:c r="N809" s="33" t="str">
        <x:v>Oui</x:v>
      </x:c>
      <x:c r="O809" s="33" t="str">
        <x:v>data.gouv.fr_aife</x:v>
      </x:c>
      <x:c r="P809" s="33" t="str">
        <x:v>2018150912815300</x:v>
      </x:c>
    </x:row>
    <x:row r="810">
      <x:c r="A810" s="33" t="str">
        <x:v>2018170008990100</x:v>
      </x:c>
      <x:c r="B810" s="33" t="str">
        <x:v>MINARM / SCA / PFC Ouest - Plate-forme commissariat Ouest (Rennes)</x:v>
      </x:c>
      <x:c r="C810" s="33" t="str">
        <x:v>UNIVERSITE DE TOULON</x:v>
      </x:c>
      <x:c r="D810" s="33" t="str">
        <x:v>Participation à la licence 3 "Science pour Ingénieur" parcours "Electronique, Electrotechnique et Automatique" et licence professionnelle "Administrations et Sécurité des Réseaux" au profit du Pôle Ecole Méditerranée de Saint-Mandrier - Cours lice</x:v>
      </x:c>
      <x:c r="E810" s="33" t="str">
        <x:v>Services d'enseignement de niveau universitaire pour adultes.</x:v>
      </x:c>
      <x:c r="F810" s="36" t="n">
        <x:v>87720</x:v>
      </x:c>
      <x:c r="G810" s="38" t="n">
        <x:v>43434</x:v>
      </x:c>
      <x:c r="H810" s="38" t="n">
        <x:v>43434</x:v>
      </x:c>
      <x:c r="I810" s="40" t="n">
        <x:v>48</x:v>
      </x:c>
      <x:c r="J810" s="33" t="str">
        <x:v>Accord-cadre</x:v>
      </x:c>
      <x:c r="K810" s="33" t="str">
        <x:v>Procédure adaptée</x:v>
      </x:c>
      <x:c r="L810" s="33" t="str">
        <x:v>Révisable</x:v>
      </x:c>
      <x:c r="M810" s="33" t="str">
        <x:v>(83) Var</x:v>
      </x:c>
      <x:c r="N810" s="33" t="str">
        <x:v>Oui</x:v>
      </x:c>
      <x:c r="O810" s="33" t="str">
        <x:v>data.gouv.fr_aife</x:v>
      </x:c>
      <x:c r="P810" s="33" t="str">
        <x:v>2018170008990100</x:v>
      </x:c>
    </x:row>
    <x:row r="811">
      <x:c r="A811" s="33" t="str">
        <x:v>2018120005921200</x:v>
      </x:c>
      <x:c r="B811" s="33" t="str">
        <x:v>MINARM / SCA / PFC Sud - Plate-forme commissariat Sud (Toulon)</x:v>
      </x:c>
      <x:c r="C811" s="33" t="str">
        <x:v>MONDIAL PROTECTION</x:v>
      </x:c>
      <x:c r="D811" s="33" t="str">
        <x:v>MS SOCLE LOT 7 : Prestations d'accueil, de filtrage, de gardiennage et de sécurité incendie au profit des armées, directions et services relevant de la base de défense de Cherbourg soutenue par la plate-forme achats-finances Centre-Ouest à Rennes - -D</x:v>
      </x:c>
      <x:c r="E811" s="33" t="str">
        <x:v>Services de gardiennage.</x:v>
      </x:c>
      <x:c r="F811" s="36" t="n">
        <x:v>2240946</x:v>
      </x:c>
      <x:c r="G811" s="38" t="n">
        <x:v>43434</x:v>
      </x:c>
      <x:c r="H811" s="38" t="n">
        <x:v>43434</x:v>
      </x:c>
      <x:c r="I811" s="40" t="n">
        <x:v>36</x:v>
      </x:c>
      <x:c r="J811" s="33" t="str">
        <x:v>Marché subséquent</x:v>
      </x:c>
      <x:c r="K811" s="33" t="str">
        <x:v>Appel d'offres ouvert</x:v>
      </x:c>
      <x:c r="L811" s="33" t="str">
        <x:v>Révisable</x:v>
      </x:c>
      <x:c r="M811" s="33" t="str">
        <x:v>(14) Calvados</x:v>
      </x:c>
      <x:c r="N811" s="33" t="str">
        <x:v>Oui</x:v>
      </x:c>
      <x:c r="O811" s="33" t="str">
        <x:v>data.gouv.fr_aife</x:v>
      </x:c>
      <x:c r="P811" s="33" t="str">
        <x:v>2018120005921200</x:v>
      </x:c>
    </x:row>
    <x:row r="812">
      <x:c r="A812" s="33" t="str">
        <x:v>2018100013250400</x:v>
      </x:c>
      <x:c r="B812" s="33" t="str">
        <x:v>MINARM / SCA / PFAT - Plate-forme affrètement et transport</x:v>
      </x:c>
      <x:c r="C812" s="33" t="str">
        <x:v>DAHER TECHNOLOGIES</x:v>
      </x:c>
      <x:c r="D812" s="33" t="str">
        <x:v>Acheminement par voie maritime de deux navires chasseurs de mines tripartites (CMT), ainsi que son fret et prestations associés, des armées françaises entre Brest (France) et Abu Dhabi (Emirats Arabes Unis), aller et retour.</x:v>
      </x:c>
      <x:c r="E812" s="33" t="str">
        <x:v>Services d'affrètement de navires.</x:v>
      </x:c>
      <x:c r="F812" s="36" t="n">
        <x:v>2400209</x:v>
      </x:c>
      <x:c r="G812" s="38" t="n">
        <x:v>43434</x:v>
      </x:c>
      <x:c r="H812" s="38" t="n">
        <x:v>43434</x:v>
      </x:c>
      <x:c r="I812" s="40" t="n">
        <x:v>9</x:v>
      </x:c>
      <x:c r="J812" s="33" t="str">
        <x:v>Marché</x:v>
      </x:c>
      <x:c r="K812" s="33" t="str"/>
      <x:c r="L812" s="33" t="str">
        <x:v>Ferme et actualisable</x:v>
      </x:c>
      <x:c r="M812" s="33" t="str">
        <x:v>ÉMIRATS ARABES UNIS</x:v>
      </x:c>
      <x:c r="N812" s="33" t="str">
        <x:v>Oui</x:v>
      </x:c>
      <x:c r="O812" s="33" t="str">
        <x:v>data.gouv.fr_aife</x:v>
      </x:c>
      <x:c r="P812" s="33" t="str">
        <x:v>2018100013250400</x:v>
      </x:c>
    </x:row>
    <x:row r="813">
      <x:c r="A813" s="33" t="str">
        <x:v>2018100013244600</x:v>
      </x:c>
      <x:c r="B813" s="33" t="str">
        <x:v>MINARM / SSF / DSSF Toulon - Direction du service de soutien de la flotte de Toulon - DSSF Toulon</x:v>
      </x:c>
      <x:c r="C813" s="33" t="str">
        <x:v>DISTRAME</x:v>
      </x:c>
      <x:c r="D813" s="33" t="str">
        <x:v>Accord cadre N° 2016M16T20015 relatif à l’approvisionnement de fourniture de matériels de mesure et de contrôle nécessaires au maintien en condition opérationnelle (MCO) des Eléments de Force Maritime (EFM) et des Eléments de Force Armées (EFA)</x:v>
      </x:c>
      <x:c r="E813" s="33" t="str">
        <x:v>Pièces pour navires de guerre.</x:v>
      </x:c>
      <x:c r="F813" s="36" t="n">
        <x:v>33006</x:v>
      </x:c>
      <x:c r="G813" s="38" t="n">
        <x:v>43434</x:v>
      </x:c>
      <x:c r="H813" s="38" t="n">
        <x:v>43434</x:v>
      </x:c>
      <x:c r="I813" s="40" t="n">
        <x:v>4</x:v>
      </x:c>
      <x:c r="J813" s="33" t="str">
        <x:v>Marché subséquent</x:v>
      </x:c>
      <x:c r="K813" s="33" t="str">
        <x:v>Appel d'offres ouvert</x:v>
      </x:c>
      <x:c r="L813" s="33" t="str">
        <x:v>Ferme et actualisable</x:v>
      </x:c>
      <x:c r="M813" s="33" t="str">
        <x:v>(83) Var</x:v>
      </x:c>
      <x:c r="N813" s="33" t="str">
        <x:v>Oui</x:v>
      </x:c>
      <x:c r="O813" s="33" t="str">
        <x:v>data.gouv.fr_aife</x:v>
      </x:c>
      <x:c r="P813" s="33" t="str">
        <x:v>2018100013244600</x:v>
      </x:c>
    </x:row>
    <x:row r="814">
      <x:c r="A814" s="33" t="str">
        <x:v>2018180005212100</x:v>
      </x:c>
      <x:c r="B814" s="33" t="str">
        <x:v>MINARM / SSA / DAPSA - Direction des Approvisionnements en produits de santé des armées</x:v>
      </x:c>
      <x:c r="C814" s="33" t="str">
        <x:v>CHUBB FRANCE</x:v>
      </x:c>
      <x:c r="D814" s="33" t="str">
        <x:v>Maintenance préventive et corrective des matériels et installations de sécurité incendie au profit de l'HIA Robert Picqué</x:v>
      </x:c>
      <x:c r="E814" s="33" t="str">
        <x:v>Services divers d'entretien et de réparation.</x:v>
      </x:c>
      <x:c r="F814" s="36" t="n">
        <x:v>240000</x:v>
      </x:c>
      <x:c r="G814" s="38" t="n">
        <x:v>43434</x:v>
      </x:c>
      <x:c r="H814" s="38" t="n">
        <x:v>43434</x:v>
      </x:c>
      <x:c r="I814" s="40" t="n">
        <x:v>36</x:v>
      </x:c>
      <x:c r="J814" s="33" t="str">
        <x:v>Marché</x:v>
      </x:c>
      <x:c r="K814" s="33" t="str">
        <x:v>Procédure adaptée</x:v>
      </x:c>
      <x:c r="L814" s="33" t="str">
        <x:v>Révisable</x:v>
      </x:c>
      <x:c r="M814" s="33" t="str">
        <x:v>(33) Gironde</x:v>
      </x:c>
      <x:c r="N814" s="33" t="str">
        <x:v>Oui</x:v>
      </x:c>
      <x:c r="O814" s="33" t="str">
        <x:v>data.gouv.fr_aife</x:v>
      </x:c>
      <x:c r="P814" s="33" t="str">
        <x:v>2018180005212100</x:v>
      </x:c>
    </x:row>
    <x:row r="815">
      <x:c r="A815" s="33" t="str">
        <x:v>2018130013959100</x:v>
      </x:c>
      <x:c r="B815" s="33" t="str">
        <x:v>MINARM / SSA / DAPSA - Direction des Approvisionnements en produits de santé des armées</x:v>
      </x:c>
      <x:c r="C815" s="33" t="str">
        <x:v>KEYSER MACKAY FRANCE ET COMPAGNIE</x:v>
      </x:c>
      <x:c r="D815" s="33" t="str">
        <x:v>Achat d'un desagregateur ainsi que la maintenance des 3 autres appareils de la même marque.</x:v>
      </x:c>
      <x:c r="E815" s="33" t="str">
        <x:v>Services de maintenance préventive.</x:v>
      </x:c>
      <x:c r="F815" s="36" t="n">
        <x:v>32224</x:v>
      </x:c>
      <x:c r="G815" s="38" t="n">
        <x:v>43435</x:v>
      </x:c>
      <x:c r="H815" s="38" t="n">
        <x:v>43435</x:v>
      </x:c>
      <x:c r="I815" s="40" t="n">
        <x:v>60</x:v>
      </x:c>
      <x:c r="J815" s="33" t="str">
        <x:v>Accord-cadre</x:v>
      </x:c>
      <x:c r="K815" s="33" t="str"/>
      <x:c r="L815" s="33" t="str">
        <x:v>Ferme</x:v>
      </x:c>
      <x:c r="M815" s="33" t="str">
        <x:v>(45) Loiret</x:v>
      </x:c>
      <x:c r="N815" s="33" t="str">
        <x:v>Oui</x:v>
      </x:c>
      <x:c r="O815" s="33" t="str">
        <x:v>data.gouv.fr_aife</x:v>
      </x:c>
      <x:c r="P815" s="33" t="str">
        <x:v>2018130013959100</x:v>
      </x:c>
    </x:row>
    <x:row r="816">
      <x:c r="A816" s="33" t="str">
        <x:v>2018150912393700</x:v>
      </x:c>
      <x:c r="B816" s="33" t="str">
        <x:v>MINARM / SGA / SID / ESID BREST - Etablissement du service d'infrastructure de la défense de BREST - ESID Brest</x:v>
      </x:c>
      <x:c r="C816" s="33" t="str">
        <x:v>APYC</x:v>
      </x:c>
      <x:c r="D816" s="33" t="str">
        <x:v>BAN de Landivisiau (29) - Création du bâtiment pour le regroupement des régies du SID - Mission OPC</x:v>
      </x:c>
      <x:c r="E816" s="33" t="str">
        <x:v>Services de conseil en bâtiment.</x:v>
      </x:c>
      <x:c r="F816" s="36" t="n">
        <x:v>19575</x:v>
      </x:c>
      <x:c r="G816" s="38" t="n">
        <x:v>43435</x:v>
      </x:c>
      <x:c r="H816" s="38" t="n">
        <x:v>43435</x:v>
      </x:c>
      <x:c r="I816" s="40" t="n">
        <x:v>48</x:v>
      </x:c>
      <x:c r="J816" s="33" t="str">
        <x:v>Marché</x:v>
      </x:c>
      <x:c r="K816" s="33" t="str">
        <x:v>Procédure adaptée</x:v>
      </x:c>
      <x:c r="L816" s="33" t="str">
        <x:v>Révisable</x:v>
      </x:c>
      <x:c r="M816" s="33" t="str">
        <x:v>(29) Finistère</x:v>
      </x:c>
      <x:c r="N816" s="33" t="str">
        <x:v>Oui</x:v>
      </x:c>
      <x:c r="O816" s="33" t="str">
        <x:v>data.gouv.fr_aife</x:v>
      </x:c>
      <x:c r="P816" s="33" t="str">
        <x:v>2018150912393700</x:v>
      </x:c>
    </x:row>
    <x:row r="817">
      <x:c r="A817" s="33" t="str">
        <x:v>2018170009039100</x:v>
      </x:c>
      <x:c r="B817" s="33" t="str">
        <x:v>MINARM / SGA / SPAC - Service Parisien de Soutien de l'Administration Centrale - SPAC</x:v>
      </x:c>
      <x:c r="C817" s="33" t="str">
        <x:v>ALTEDIA</x:v>
      </x:c>
      <x:c r="D817" s="33" t="str">
        <x:v>Réalisation de formations de préparation à lentrée dans le monde de lentreprise au profit des officiers généraux en transition de carrière et accompagnement individuel spécialisé (3 lots). - Consultant indépendant</x:v>
      </x:c>
      <x:c r="E817" s="33" t="str">
        <x:v>Services d'accompagnement professionnel.</x:v>
      </x:c>
      <x:c r="F817" s="36" t="n">
        <x:v>71000</x:v>
      </x:c>
      <x:c r="G817" s="38" t="n">
        <x:v>43437</x:v>
      </x:c>
      <x:c r="H817" s="38" t="n">
        <x:v>43437</x:v>
      </x:c>
      <x:c r="I817" s="40" t="n">
        <x:v>48</x:v>
      </x:c>
      <x:c r="J817" s="33" t="str">
        <x:v>Accord-cadre</x:v>
      </x:c>
      <x:c r="K817" s="33" t="str">
        <x:v>Procédure adaptée</x:v>
      </x:c>
      <x:c r="L817" s="33" t="str">
        <x:v>Révisable</x:v>
      </x:c>
      <x:c r="M817" s="33" t="str">
        <x:v>(75) Paris</x:v>
      </x:c>
      <x:c r="N817" s="33" t="str">
        <x:v>Oui</x:v>
      </x:c>
      <x:c r="O817" s="33" t="str">
        <x:v>data.gouv.fr_aife</x:v>
      </x:c>
      <x:c r="P817" s="33" t="str">
        <x:v>2018170009039100</x:v>
      </x:c>
    </x:row>
    <x:row r="818">
      <x:c r="A818" s="33" t="str">
        <x:v>2018100013234000</x:v>
      </x:c>
      <x:c r="B818" s="33" t="str">
        <x:v>MINARM / DGA / DO / S2A / PROD / DA-BA - Division achats - Toulouse/Balma</x:v>
      </x:c>
      <x:c r="C818" s="33" t="str">
        <x:v>I.T.H.P.P.</x:v>
      </x:c>
      <x:c r="D818" s="33" t="str">
        <x:v>MCO, MHE du générateur Super Dicom et achat d’un moyen de génération d’onde B pour les essais ponctuels de FPr2.</x:v>
      </x:c>
      <x:c r="E818" s="33" t="str">
        <x:v>Services d'installation de générateurs.</x:v>
      </x:c>
      <x:c r="F818" s="36" t="n">
        <x:v>274880</x:v>
      </x:c>
      <x:c r="G818" s="38" t="n">
        <x:v>43437</x:v>
      </x:c>
      <x:c r="H818" s="38" t="n">
        <x:v>43437</x:v>
      </x:c>
      <x:c r="I818" s="40" t="n">
        <x:v>72</x:v>
      </x:c>
      <x:c r="J818" s="33" t="str">
        <x:v>Marché subséquent</x:v>
      </x:c>
      <x:c r="K818" s="33" t="str"/>
      <x:c r="L818" s="33" t="str">
        <x:v>Révisable</x:v>
      </x:c>
      <x:c r="M818" s="33" t="str">
        <x:v>(31) Haute-Garonne</x:v>
      </x:c>
      <x:c r="N818" s="33" t="str">
        <x:v>Oui</x:v>
      </x:c>
      <x:c r="O818" s="33" t="str">
        <x:v>data.gouv.fr_aife</x:v>
      </x:c>
      <x:c r="P818" s="33" t="str">
        <x:v>2018100013234000</x:v>
      </x:c>
    </x:row>
    <x:row r="819">
      <x:c r="A819" s="33" t="str">
        <x:v>2018130013910300</x:v>
      </x:c>
      <x:c r="B819" s="33" t="str">
        <x:v>MINARM / SSA / DAPSA - Direction des Approvisionnements en produits de santé des armées</x:v>
      </x:c>
      <x:c r="C819" s="33" t="str">
        <x:v>ELLEX SERVICES EUROPE</x:v>
      </x:c>
      <x:c r="D819" s="33" t="str">
        <x:v>Prestations de maintenance des lasers chirurgicaux, médicaux, scientifiques et fournitures des pièces détachées, accessoires nécessaires au fonctionnement de lasers du Service de Santé des Armées (SSA) - Maintenance des lasers de marque Ellex</x:v>
      </x:c>
      <x:c r="E819" s="33" t="str">
        <x:v>Services de réparation et d'entretien de matériel médical et chirurgical.</x:v>
      </x:c>
      <x:c r="F819" s="36" t="n">
        <x:v>58384</x:v>
      </x:c>
      <x:c r="G819" s="38" t="n">
        <x:v>43437</x:v>
      </x:c>
      <x:c r="H819" s="38" t="n">
        <x:v>43437</x:v>
      </x:c>
      <x:c r="I819" s="40" t="n">
        <x:v>48</x:v>
      </x:c>
      <x:c r="J819" s="33" t="str">
        <x:v>Accord-cadre</x:v>
      </x:c>
      <x:c r="K819" s="33" t="str"/>
      <x:c r="L819" s="33" t="str">
        <x:v>Révisable</x:v>
      </x:c>
      <x:c r="M819" s="33" t="str">
        <x:v>(69) Rhône</x:v>
      </x:c>
      <x:c r="N819" s="33" t="str">
        <x:v>Oui</x:v>
      </x:c>
      <x:c r="O819" s="33" t="str">
        <x:v>data.gouv.fr_aife</x:v>
      </x:c>
      <x:c r="P819" s="33" t="str">
        <x:v>2018130013910300</x:v>
      </x:c>
    </x:row>
    <x:row r="820">
      <x:c r="A820" s="33" t="str">
        <x:v>2018150913642800</x:v>
      </x:c>
      <x:c r="B820" s="33" t="str">
        <x:v>MINARM / SGA / SID / DID Cayenne - Direction d'infrastructure de la défense de Cayenne - DID Cayenne</x:v>
      </x:c>
      <x:c r="C820" s="33" t="str">
        <x:v>EIFFAGE METAL GUYANE</x:v>
      </x:c>
      <x:c r="D820" s="33" t="str">
        <x:v>Le projet vise à créer une aire de lavage couverte pour l’ensemble des véhicules terrestres stationnés sur Cayenne. Il comprend également la réalisation à proximité immédiate de l’aire de lavage, de locaux pour la section ravitaillement trans</x:v>
      </x:c>
      <x:c r="E820" s="33" t="str">
        <x:v>Charpentes .</x:v>
      </x:c>
      <x:c r="F820" s="36" t="n">
        <x:v>456119</x:v>
      </x:c>
      <x:c r="G820" s="38" t="n">
        <x:v>43437</x:v>
      </x:c>
      <x:c r="H820" s="38" t="n">
        <x:v>43437</x:v>
      </x:c>
      <x:c r="I820" s="40" t="n">
        <x:v>12</x:v>
      </x:c>
      <x:c r="J820" s="33" t="str">
        <x:v>Marché</x:v>
      </x:c>
      <x:c r="K820" s="33" t="str">
        <x:v>Procédure adaptée</x:v>
      </x:c>
      <x:c r="L820" s="33" t="str">
        <x:v>Révisable</x:v>
      </x:c>
      <x:c r="M820" s="33" t="str">
        <x:v>(974) Réunion</x:v>
      </x:c>
      <x:c r="N820" s="33" t="str">
        <x:v>Oui</x:v>
      </x:c>
      <x:c r="O820" s="33" t="str">
        <x:v>data.gouv.fr_aife</x:v>
      </x:c>
      <x:c r="P820" s="33" t="str">
        <x:v>2018150913642800</x:v>
      </x:c>
    </x:row>
    <x:row r="821">
      <x:c r="A821" s="33" t="str">
        <x:v>2018150913251000</x:v>
      </x:c>
      <x:c r="B821" s="33" t="str">
        <x:v>MINARM / SGA / SID / ESID Metz - Etablissement du service d'infrastructure de la défense de Metz - ESID Metz</x:v>
      </x:c>
      <x:c r="C821" s="33" t="str">
        <x:v>VMS</x:v>
      </x:c>
      <x:c r="D821" s="33" t="str">
        <x:v>SAINT-DIZIER (52) - BA 113 - Stand de tir - Travaux de maintien en condition de l'infrastructure</x:v>
      </x:c>
      <x:c r="E821" s="33" t="str">
        <x:v>Travaux de revêtements de sols.</x:v>
      </x:c>
      <x:c r="F821" s="36" t="n">
        <x:v>80800</x:v>
      </x:c>
      <x:c r="G821" s="38" t="n">
        <x:v>43437</x:v>
      </x:c>
      <x:c r="H821" s="38" t="n">
        <x:v>43437</x:v>
      </x:c>
      <x:c r="I821" s="40" t="n">
        <x:v>6</x:v>
      </x:c>
      <x:c r="J821" s="33" t="str">
        <x:v>Marché</x:v>
      </x:c>
      <x:c r="K821" s="33" t="str">
        <x:v>Appel d'offres ouvert</x:v>
      </x:c>
      <x:c r="L821" s="33" t="str">
        <x:v>Ferme et actualisable</x:v>
      </x:c>
      <x:c r="M821" s="33" t="str">
        <x:v>(52) Haute-Marne</x:v>
      </x:c>
      <x:c r="N821" s="33" t="str">
        <x:v>Oui</x:v>
      </x:c>
      <x:c r="O821" s="33" t="str">
        <x:v>data.gouv.fr_aife</x:v>
      </x:c>
      <x:c r="P821" s="33" t="str">
        <x:v>2018150913251000</x:v>
      </x:c>
    </x:row>
    <x:row r="822">
      <x:c r="A822" s="33" t="str">
        <x:v>2018130013942800</x:v>
      </x:c>
      <x:c r="B822" s="33" t="str">
        <x:v>MINARM / DGA / DO / S2A / PROD / DA-IDFN - Division achats - Ile de France/Normandie</x:v>
      </x:c>
      <x:c r="C822" s="33" t="str">
        <x:v>FACTORY SYSTEMES</x:v>
      </x:c>
      <x:c r="D822" s="33" t="str">
        <x:v>Fourniture de logiciels de supervision destinés au maintien en - condition opérationnelle des systèmes Contrôle Commande de DGA Essais - propulseurs à Saclay (91)</x:v>
      </x:c>
      <x:c r="E822" s="33" t="str">
        <x:v>Système de commande et de contrôle.</x:v>
      </x:c>
      <x:c r="F822" s="36" t="n">
        <x:v>500000</x:v>
      </x:c>
      <x:c r="G822" s="38" t="n">
        <x:v>43437</x:v>
      </x:c>
      <x:c r="H822" s="38" t="n">
        <x:v>43437</x:v>
      </x:c>
      <x:c r="I822" s="40" t="n">
        <x:v>60</x:v>
      </x:c>
      <x:c r="J822" s="33" t="str">
        <x:v>Accord-cadre</x:v>
      </x:c>
      <x:c r="K822" s="33" t="str"/>
      <x:c r="L822" s="33" t="str">
        <x:v>Révisable</x:v>
      </x:c>
      <x:c r="M822" s="33" t="str">
        <x:v>(91) Essonne</x:v>
      </x:c>
      <x:c r="N822" s="33" t="str">
        <x:v>Oui</x:v>
      </x:c>
      <x:c r="O822" s="33" t="str">
        <x:v>data.gouv.fr_aife</x:v>
      </x:c>
      <x:c r="P822" s="33" t="str">
        <x:v>2018130013942800</x:v>
      </x:c>
    </x:row>
    <x:row r="823">
      <x:c r="A823" s="33" t="str">
        <x:v>2018160004970400</x:v>
      </x:c>
      <x:c r="B823" s="33" t="str">
        <x:v>MINARM / DGA / DO / S2A / PROD / DA-IDFN - Division achats - Ile de France/Normandie</x:v>
      </x:c>
      <x:c r="C823" s="33" t="str">
        <x:v>IXBLUE</x:v>
      </x:c>
      <x:c r="D823" s="33" t="str">
        <x:v>Fourniture dune centrale inertielle de navigation au profit de DGA Techniques hydrodynamiques à Val-de-Reuil.</x:v>
      </x:c>
      <x:c r="E823" s="33" t="str">
        <x:v>Instruments de navigation.</x:v>
      </x:c>
      <x:c r="F823" s="36" t="n">
        <x:v>126750</x:v>
      </x:c>
      <x:c r="G823" s="38" t="n">
        <x:v>43437</x:v>
      </x:c>
      <x:c r="H823" s="38" t="n">
        <x:v>43437</x:v>
      </x:c>
      <x:c r="I823" s="40" t="n">
        <x:v>18</x:v>
      </x:c>
      <x:c r="J823" s="33" t="str">
        <x:v>Marché</x:v>
      </x:c>
      <x:c r="K823" s="33" t="str">
        <x:v>Procédure adaptée</x:v>
      </x:c>
      <x:c r="L823" s="33" t="str">
        <x:v>Ferme</x:v>
      </x:c>
      <x:c r="M823" s="33" t="str">
        <x:v>(27) Eure</x:v>
      </x:c>
      <x:c r="N823" s="33" t="str">
        <x:v>Oui</x:v>
      </x:c>
      <x:c r="O823" s="33" t="str">
        <x:v>data.gouv.fr_aife</x:v>
      </x:c>
      <x:c r="P823" s="33" t="str">
        <x:v>2018160004970400</x:v>
      </x:c>
    </x:row>
    <x:row r="824">
      <x:c r="A824" s="33" t="str">
        <x:v>20182018F8002000</x:v>
      </x:c>
      <x:c r="B824" s="33" t="str">
        <x:v>MINARM / SSF / DSSF Brest - Direction du service de soutien de la flotte de Brest - DSSF Brest</x:v>
      </x:c>
      <x:c r="C824" s="33" t="str">
        <x:v>AART ELECTRONICS</x:v>
      </x:c>
      <x:c r="D824" s="33" t="str">
        <x:v>Fourniture d'appareils de mesure et accessoires associés de marques diverses ou équivalentes destinés à équiper les bâtiments et unités à terre de la Marine Nationale</x:v>
      </x:c>
      <x:c r="E824" s="33" t="str">
        <x:v>Matériel de mesure et de contrôle.</x:v>
      </x:c>
      <x:c r="F824" s="36" t="n">
        <x:v>260164</x:v>
      </x:c>
      <x:c r="G824" s="38" t="n">
        <x:v>43437</x:v>
      </x:c>
      <x:c r="H824" s="38" t="n">
        <x:v>43437</x:v>
      </x:c>
      <x:c r="I824" s="40" t="n">
        <x:v>48</x:v>
      </x:c>
      <x:c r="J824" s="33" t="str">
        <x:v>Accord-cadre</x:v>
      </x:c>
      <x:c r="K824" s="33" t="str">
        <x:v>Appel d'offres restreint</x:v>
      </x:c>
      <x:c r="L824" s="33" t="str"/>
      <x:c r="M824" s="33" t="str">
        <x:v>(29) Finistère</x:v>
      </x:c>
      <x:c r="N824" s="33" t="str">
        <x:v>Oui</x:v>
      </x:c>
      <x:c r="O824" s="33" t="str">
        <x:v>data.gouv.fr_aife</x:v>
      </x:c>
      <x:c r="P824" s="33" t="str">
        <x:v>20182018F8002000</x:v>
      </x:c>
    </x:row>
    <x:row r="825">
      <x:c r="A825" s="33" t="str">
        <x:v>2018100013231200</x:v>
      </x:c>
      <x:c r="B825" s="33" t="str">
        <x:v>MINARM / SSF / DSSF Toulon - Direction du service de soutien de la flotte de Toulon - DSSF Toulon</x:v>
      </x:c>
      <x:c r="C825" s="33" t="str">
        <x:v>LOGNAV-CM</x:v>
      </x:c>
      <x:c r="D825" s="33" t="str">
        <x:v>AC M16T20 015 relatif à l’approvisionnement de fourniture de matériels de mesure et de contrôle nécessaires au maintien en condition opérationnelle (MCO) des Eléments de Force Maritime (EFM) et des Eléments de Force Armées (EFA). -</x:v>
      </x:c>
      <x:c r="E825" s="33" t="str">
        <x:v>Pièces pour navires de guerre.</x:v>
      </x:c>
      <x:c r="F825" s="36" t="n">
        <x:v>3460</x:v>
      </x:c>
      <x:c r="G825" s="38" t="n">
        <x:v>43437</x:v>
      </x:c>
      <x:c r="H825" s="38" t="n">
        <x:v>43437</x:v>
      </x:c>
      <x:c r="I825" s="40" t="n">
        <x:v>2</x:v>
      </x:c>
      <x:c r="J825" s="33" t="str">
        <x:v>Marché subséquent</x:v>
      </x:c>
      <x:c r="K825" s="33" t="str">
        <x:v>Appel d'offres ouvert</x:v>
      </x:c>
      <x:c r="L825" s="33" t="str">
        <x:v>Ferme et actualisable</x:v>
      </x:c>
      <x:c r="M825" s="33" t="str">
        <x:v>(83) Var</x:v>
      </x:c>
      <x:c r="N825" s="33" t="str">
        <x:v>Oui</x:v>
      </x:c>
      <x:c r="O825" s="33" t="str">
        <x:v>data.gouv.fr_aife</x:v>
      </x:c>
      <x:c r="P825" s="33" t="str">
        <x:v>2018100013231200</x:v>
      </x:c>
    </x:row>
    <x:row r="826">
      <x:c r="A826" s="33" t="str">
        <x:v>2018100013236800</x:v>
      </x:c>
      <x:c r="B826" s="33" t="str">
        <x:v>MINARM / SSF / DSSF Toulon - Direction du service de soutien de la flotte de Toulon - DSSF Toulon</x:v>
      </x:c>
      <x:c r="C826" s="33" t="str">
        <x:v>DISTRAME</x:v>
      </x:c>
      <x:c r="D826" s="33" t="str">
        <x:v>Accord cadre N° 2016M16T20015 relatif à l’approvisionnement de fourniture de matériels de mesure et de contrôle nécessaires au maintien en condition opérationnelle (MCO) des Eléments de Force Maritime (EFM) et des Eléments de Force Armées (EFA)</x:v>
      </x:c>
      <x:c r="E826" s="33" t="str">
        <x:v>Pièces pour navires de guerre.</x:v>
      </x:c>
      <x:c r="F826" s="36" t="n">
        <x:v>143283</x:v>
      </x:c>
      <x:c r="G826" s="38" t="n">
        <x:v>43437</x:v>
      </x:c>
      <x:c r="H826" s="38" t="n">
        <x:v>43437</x:v>
      </x:c>
      <x:c r="I826" s="40" t="n">
        <x:v>2</x:v>
      </x:c>
      <x:c r="J826" s="33" t="str">
        <x:v>Marché subséquent</x:v>
      </x:c>
      <x:c r="K826" s="33" t="str">
        <x:v>Appel d'offres ouvert</x:v>
      </x:c>
      <x:c r="L826" s="33" t="str">
        <x:v>Ferme et actualisable</x:v>
      </x:c>
      <x:c r="M826" s="33" t="str">
        <x:v>(83) Var</x:v>
      </x:c>
      <x:c r="N826" s="33" t="str">
        <x:v>Oui</x:v>
      </x:c>
      <x:c r="O826" s="33" t="str">
        <x:v>data.gouv.fr_aife</x:v>
      </x:c>
      <x:c r="P826" s="33" t="str">
        <x:v>2018100013236800</x:v>
      </x:c>
    </x:row>
    <x:row r="827">
      <x:c r="A827" s="33" t="str">
        <x:v>2018130013914100</x:v>
      </x:c>
      <x:c r="B827" s="33" t="str">
        <x:v>MINARM / SSA / DAPSA - Direction des Approvisionnements en produits de santé des armées</x:v>
      </x:c>
      <x:c r="C827" s="33" t="str">
        <x:v>NIDEK SA</x:v>
      </x:c>
      <x:c r="D827" s="33" t="str">
        <x:v>Prestations de maintenance des lasers chirurgicaux, médicaux, scientifiques et fournitures des pièces détachées, accessoires nécessaires au fonctionnement de lasers du Service de Santé des Armées (SSA) - Maintenance des lasers YC-1300</x:v>
      </x:c>
      <x:c r="E827" s="33" t="str">
        <x:v>Services de réparation et d'entretien de matériel médical et chirurgical.</x:v>
      </x:c>
      <x:c r="F827" s="36" t="n">
        <x:v>1492</x:v>
      </x:c>
      <x:c r="G827" s="38" t="n">
        <x:v>43437</x:v>
      </x:c>
      <x:c r="H827" s="38" t="n">
        <x:v>43437</x:v>
      </x:c>
      <x:c r="I827" s="40" t="n">
        <x:v>48</x:v>
      </x:c>
      <x:c r="J827" s="33" t="str">
        <x:v>Accord-cadre</x:v>
      </x:c>
      <x:c r="K827" s="33" t="str"/>
      <x:c r="L827" s="33" t="str">
        <x:v>Révisable</x:v>
      </x:c>
      <x:c r="M827" s="33" t="str">
        <x:v>(69) Rhône</x:v>
      </x:c>
      <x:c r="N827" s="33" t="str">
        <x:v>Oui</x:v>
      </x:c>
      <x:c r="O827" s="33" t="str">
        <x:v>data.gouv.fr_aife</x:v>
      </x:c>
      <x:c r="P827" s="33" t="str">
        <x:v>2018130013914100</x:v>
      </x:c>
    </x:row>
    <x:row r="828">
      <x:c r="A828" s="33" t="str">
        <x:v>20182018T0008403</x:v>
      </x:c>
      <x:c r="B828" s="33" t="str">
        <x:v>MINARM / ESTM / EPA / ONAC - Office National des Anciens Combattants et victimes de guerre</x:v>
      </x:c>
      <x:c r="C828" s="33" t="str">
        <x:v>SOC NOUVELLE CHANZY-PARDOUX</x:v>
      </x:c>
      <x:c r="D828" s="33" t="str">
        <x:v>Travaux de restauration des miradors, de la guérite et mise aux normes électriques de la Villa Eyret et du bloc cuisine de lancien camp de concentration de Natzweiler-Struthof à Natzwiller (67) - Consultation décomposée en 6 lots - Structure et charpen</x:v>
      </x:c>
      <x:c r="E828" s="33" t="str">
        <x:v>Travaux d'installation d'échafaudages.</x:v>
      </x:c>
      <x:c r="F828" s="36" t="n">
        <x:v>574952</x:v>
      </x:c>
      <x:c r="G828" s="38" t="n">
        <x:v>43437</x:v>
      </x:c>
      <x:c r="H828" s="38" t="n">
        <x:v>43437</x:v>
      </x:c>
      <x:c r="I828" s="40" t="n">
        <x:v>44</x:v>
      </x:c>
      <x:c r="J828" s="33" t="str">
        <x:v>Marché</x:v>
      </x:c>
      <x:c r="K828" s="33" t="str">
        <x:v>Procédure adaptée</x:v>
      </x:c>
      <x:c r="L828" s="33" t="str">
        <x:v>Révisable</x:v>
      </x:c>
      <x:c r="M828" s="33" t="str">
        <x:v>(67) Bas-Rhin</x:v>
      </x:c>
      <x:c r="N828" s="33" t="str">
        <x:v>Oui</x:v>
      </x:c>
      <x:c r="O828" s="33" t="str">
        <x:v>data.gouv.fr_aife</x:v>
      </x:c>
      <x:c r="P828" s="33" t="str">
        <x:v>20182018T0008403</x:v>
      </x:c>
    </x:row>
    <x:row r="829">
      <x:c r="A829" s="33" t="str">
        <x:v>20182018T0008600</x:v>
      </x:c>
      <x:c r="B829" s="33" t="str">
        <x:v>MINARM / ESTM / EPA / ONAC - Office National des Anciens Combattants et victimes de guerre</x:v>
      </x:c>
      <x:c r="C829" s="33" t="str">
        <x:v>SOC NOUVELLE CHANZY-PARDOUX</x:v>
      </x:c>
      <x:c r="D829" s="33" t="str">
        <x:v>Travaux de restauration des miradors, de la guérite et mise aux normes électriques de la Villa Eyret et du bloc cuisine de lancien camp de concentration de Natzweiler-Struthof à Natzwiller (67) - Consultation décomposée en 6 lots - Maçonnerie gros uv</x:v>
      </x:c>
      <x:c r="E829" s="33" t="str">
        <x:v>Travaux de maçonnerie et de briquetage.</x:v>
      </x:c>
      <x:c r="F829" s="36" t="n">
        <x:v>164608</x:v>
      </x:c>
      <x:c r="G829" s="38" t="n">
        <x:v>43437</x:v>
      </x:c>
      <x:c r="H829" s="38" t="n">
        <x:v>43437</x:v>
      </x:c>
      <x:c r="I829" s="40" t="n">
        <x:v>44</x:v>
      </x:c>
      <x:c r="J829" s="33" t="str">
        <x:v>Marché</x:v>
      </x:c>
      <x:c r="K829" s="33" t="str">
        <x:v>Procédure adaptée</x:v>
      </x:c>
      <x:c r="L829" s="33" t="str">
        <x:v>Révisable</x:v>
      </x:c>
      <x:c r="M829" s="33" t="str">
        <x:v>(67) Bas-Rhin</x:v>
      </x:c>
      <x:c r="N829" s="33" t="str">
        <x:v>Oui</x:v>
      </x:c>
      <x:c r="O829" s="33" t="str">
        <x:v>data.gouv.fr_aife</x:v>
      </x:c>
      <x:c r="P829" s="33" t="str">
        <x:v>20182018T0008600</x:v>
      </x:c>
    </x:row>
    <x:row r="830">
      <x:c r="A830" s="33" t="str">
        <x:v>2018120005873100</x:v>
      </x:c>
      <x:c r="B830" s="33" t="str">
        <x:v>MINARM / SGA / SID / ESID IDF - Etablissement du Service d'infrastructure de la défense d'Ile de France - ESID Ile de France</x:v>
      </x:c>
      <x:c r="C830" s="33" t="str">
        <x:v>ETT</x:v>
      </x:c>
      <x:c r="D830" s="33" t="str">
        <x:v>Le présent marché a pour objectif l'exécution à prix mixtes des travaux de rénovation complète du réseau HT et adaptation du réseau secours de la base aérienne 107 de VILLACOUBLAY (78). - Electricté</x:v>
      </x:c>
      <x:c r="E830" s="33" t="str">
        <x:v>Travaux d'installation électrique d'appareils de distribution.</x:v>
      </x:c>
      <x:c r="F830" s="36" t="n">
        <x:v>6706225</x:v>
      </x:c>
      <x:c r="G830" s="38" t="n">
        <x:v>43437</x:v>
      </x:c>
      <x:c r="H830" s="38" t="n">
        <x:v>43437</x:v>
      </x:c>
      <x:c r="I830" s="40" t="n">
        <x:v>36</x:v>
      </x:c>
      <x:c r="J830" s="33" t="str">
        <x:v>Marché</x:v>
      </x:c>
      <x:c r="K830" s="33" t="str">
        <x:v>Appel d'offres ouvert</x:v>
      </x:c>
      <x:c r="L830" s="33" t="str">
        <x:v>Révisable</x:v>
      </x:c>
      <x:c r="M830" s="33" t="str">
        <x:v>(78) Yvelines</x:v>
      </x:c>
      <x:c r="N830" s="33" t="str">
        <x:v>Oui</x:v>
      </x:c>
      <x:c r="O830" s="33" t="str">
        <x:v>data.gouv.fr_aife</x:v>
      </x:c>
      <x:c r="P830" s="33" t="str">
        <x:v>2018120005873100</x:v>
      </x:c>
    </x:row>
    <x:row r="831">
      <x:c r="A831" s="33" t="str">
        <x:v>2018150915147100</x:v>
      </x:c>
      <x:c r="B831" s="33" t="str">
        <x:v>MINARM / SGA / SID / ESID BREST - Etablissement du service d'infrastructure de la défense de BREST - ESID Brest</x:v>
      </x:c>
      <x:c r="C831" s="33" t="str">
        <x:v>QCS SERVICES</x:v>
      </x:c>
      <x:c r="D831" s="33" t="str">
        <x:v>BAN de Lann Bihoué (56) - Réaménagement des portes F1 et F17 - Diagnostic d'un ouvrage enterré à démolir</x:v>
      </x:c>
      <x:c r="E831" s="33" t="str">
        <x:v>Services d'inspection technique.</x:v>
      </x:c>
      <x:c r="F831" s="36" t="n">
        <x:v>10580</x:v>
      </x:c>
      <x:c r="G831" s="38" t="n">
        <x:v>43437</x:v>
      </x:c>
      <x:c r="H831" s="38" t="n">
        <x:v>43437</x:v>
      </x:c>
      <x:c r="I831" s="40" t="n">
        <x:v>14</x:v>
      </x:c>
      <x:c r="J831" s="33" t="str">
        <x:v>Marché</x:v>
      </x:c>
      <x:c r="K831" s="33" t="str">
        <x:v>Procédure adaptée</x:v>
      </x:c>
      <x:c r="L831" s="33" t="str">
        <x:v>Ferme</x:v>
      </x:c>
      <x:c r="M831" s="33" t="str">
        <x:v>(56) Morbihan</x:v>
      </x:c>
      <x:c r="N831" s="33" t="str">
        <x:v>Oui</x:v>
      </x:c>
      <x:c r="O831" s="33" t="str">
        <x:v>data.gouv.fr_aife</x:v>
      </x:c>
      <x:c r="P831" s="33" t="str">
        <x:v>2018150915147100</x:v>
      </x:c>
    </x:row>
    <x:row r="832">
      <x:c r="A832" s="33" t="str">
        <x:v>2018170009035500</x:v>
      </x:c>
      <x:c r="B832" s="33" t="str">
        <x:v>MINARM / SGA / SPAC - Service Parisien de Soutien de l'Administration Centrale - SPAC</x:v>
      </x:c>
      <x:c r="C832" s="33" t="str">
        <x:v>ALIXIO</x:v>
      </x:c>
      <x:c r="D832" s="33" t="str">
        <x:v>Réalisation de formations de préparation à lentrée dans le monde de lentreprise au profit des officiers généraux en transition de carrière et accompagnement individuel spécialisé (3 lots). - Création - reprise d'entreprise</x:v>
      </x:c>
      <x:c r="E832" s="33" t="str">
        <x:v>Services d'accompagnement professionnel.</x:v>
      </x:c>
      <x:c r="F832" s="36" t="n">
        <x:v>31200</x:v>
      </x:c>
      <x:c r="G832" s="38" t="n">
        <x:v>43437</x:v>
      </x:c>
      <x:c r="H832" s="38" t="n">
        <x:v>43437</x:v>
      </x:c>
      <x:c r="I832" s="40" t="n">
        <x:v>48</x:v>
      </x:c>
      <x:c r="J832" s="33" t="str">
        <x:v>Accord-cadre</x:v>
      </x:c>
      <x:c r="K832" s="33" t="str">
        <x:v>Procédure adaptée</x:v>
      </x:c>
      <x:c r="L832" s="33" t="str">
        <x:v>Révisable</x:v>
      </x:c>
      <x:c r="M832" s="33" t="str">
        <x:v>(75) Paris</x:v>
      </x:c>
      <x:c r="N832" s="33" t="str">
        <x:v>Oui</x:v>
      </x:c>
      <x:c r="O832" s="33" t="str">
        <x:v>data.gouv.fr_aife</x:v>
      </x:c>
      <x:c r="P832" s="33" t="str">
        <x:v>2018170009035500</x:v>
      </x:c>
    </x:row>
    <x:row r="833">
      <x:c r="A833" s="33" t="str">
        <x:v>20182018F8002100</x:v>
      </x:c>
      <x:c r="B833" s="33" t="str">
        <x:v>MINARM / SSF / DSSF Brest - Direction du service de soutien de la flotte de Brest - DSSF Brest</x:v>
      </x:c>
      <x:c r="C833" s="33" t="str">
        <x:v>LE LITTORAL</x:v>
      </x:c>
      <x:c r="D833" s="33" t="str">
        <x:v>Fourniture d'appareils de mesure et accessoires associés de marques diverses ou équivalentes destinés à équiper les bâtiments et unités à terre de la Marine Nationale</x:v>
      </x:c>
      <x:c r="E833" s="33" t="str">
        <x:v>Matériel de mesure et de contrôle.</x:v>
      </x:c>
      <x:c r="F833" s="36" t="n">
        <x:v>260164</x:v>
      </x:c>
      <x:c r="G833" s="38" t="n">
        <x:v>43437</x:v>
      </x:c>
      <x:c r="H833" s="38" t="n">
        <x:v>43437</x:v>
      </x:c>
      <x:c r="I833" s="40" t="n">
        <x:v>48</x:v>
      </x:c>
      <x:c r="J833" s="33" t="str">
        <x:v>Accord-cadre</x:v>
      </x:c>
      <x:c r="K833" s="33" t="str">
        <x:v>Appel d'offres restreint</x:v>
      </x:c>
      <x:c r="L833" s="33" t="str"/>
      <x:c r="M833" s="33" t="str">
        <x:v>(29) Finistère</x:v>
      </x:c>
      <x:c r="N833" s="33" t="str">
        <x:v>Oui</x:v>
      </x:c>
      <x:c r="O833" s="33" t="str">
        <x:v>data.gouv.fr_aife</x:v>
      </x:c>
      <x:c r="P833" s="33" t="str">
        <x:v>20182018F8002100</x:v>
      </x:c>
    </x:row>
    <x:row r="834">
      <x:c r="A834" s="33" t="str">
        <x:v>20182018F9090000</x:v>
      </x:c>
      <x:c r="B834" s="33" t="str">
        <x:v>MINARM / SSF / DSSF Brest - Direction du service de soutien de la flotte de Brest - DSSF Brest</x:v>
      </x:c>
      <x:c r="C834" s="33" t="str">
        <x:v>SARL EUROFOURNISUD</x:v>
      </x:c>
      <x:c r="D834" s="33" t="str">
        <x:v>Fourniture d'appareils de mesure et accessoires associés de marques diverses ou équivalentes destinés à équiper les bâtiments et unités à terre de la Marine Nationale</x:v>
      </x:c>
      <x:c r="E834" s="33" t="str">
        <x:v>Matériel de mesure et de contrôle.</x:v>
      </x:c>
      <x:c r="F834" s="36" t="n">
        <x:v>260164</x:v>
      </x:c>
      <x:c r="G834" s="38" t="n">
        <x:v>43437</x:v>
      </x:c>
      <x:c r="H834" s="38" t="n">
        <x:v>43437</x:v>
      </x:c>
      <x:c r="I834" s="40" t="n">
        <x:v>48</x:v>
      </x:c>
      <x:c r="J834" s="33" t="str">
        <x:v>Accord-cadre</x:v>
      </x:c>
      <x:c r="K834" s="33" t="str">
        <x:v>Appel d'offres restreint</x:v>
      </x:c>
      <x:c r="L834" s="33" t="str"/>
      <x:c r="M834" s="33" t="str">
        <x:v>(29) Finistère</x:v>
      </x:c>
      <x:c r="N834" s="33" t="str">
        <x:v>Oui</x:v>
      </x:c>
      <x:c r="O834" s="33" t="str">
        <x:v>data.gouv.fr_aife</x:v>
      </x:c>
      <x:c r="P834" s="33" t="str">
        <x:v>20182018F9090000</x:v>
      </x:c>
    </x:row>
    <x:row r="835">
      <x:c r="A835" s="33" t="str">
        <x:v>20182018T0008400</x:v>
      </x:c>
      <x:c r="B835" s="33" t="str">
        <x:v>MINARM / ESTM / EPA / ONAC - Office National des Anciens Combattants et victimes de guerre</x:v>
      </x:c>
      <x:c r="C835" s="33" t="str">
        <x:v>SOC NOUVELLE CHANZY-PARDOUX</x:v>
      </x:c>
      <x:c r="D835" s="33" t="str">
        <x:v>Travaux de restauration des miradors, de la guérite et mise aux normes électriques de la Villa Eyret et du bloc cuisine de lancien camp de concentration de Natzweiler-Struthof à Natzwiller (67) - Consultation décomposée en 6 lots - Structure et charpen</x:v>
      </x:c>
      <x:c r="E835" s="33" t="str">
        <x:v>Travaux d'installation d'échafaudages.</x:v>
      </x:c>
      <x:c r="F835" s="36" t="n">
        <x:v>574952</x:v>
      </x:c>
      <x:c r="G835" s="38" t="n">
        <x:v>43437</x:v>
      </x:c>
      <x:c r="H835" s="38" t="n">
        <x:v>43437</x:v>
      </x:c>
      <x:c r="I835" s="40" t="n">
        <x:v>44</x:v>
      </x:c>
      <x:c r="J835" s="33" t="str">
        <x:v>Marché</x:v>
      </x:c>
      <x:c r="K835" s="33" t="str">
        <x:v>Procédure adaptée</x:v>
      </x:c>
      <x:c r="L835" s="33" t="str">
        <x:v>Révisable</x:v>
      </x:c>
      <x:c r="M835" s="33" t="str">
        <x:v>(67) Bas-Rhin</x:v>
      </x:c>
      <x:c r="N835" s="33" t="str">
        <x:v>Oui</x:v>
      </x:c>
      <x:c r="O835" s="33" t="str">
        <x:v>data.gouv.fr_aife</x:v>
      </x:c>
      <x:c r="P835" s="33" t="str">
        <x:v>20182018T0008400</x:v>
      </x:c>
    </x:row>
    <x:row r="836">
      <x:c r="A836" s="33" t="str">
        <x:v>20182018T0008402</x:v>
      </x:c>
      <x:c r="B836" s="33" t="str">
        <x:v>MINARM / ESTM / EPA / ONAC - Office National des Anciens Combattants et victimes de guerre</x:v>
      </x:c>
      <x:c r="C836" s="33" t="str">
        <x:v>SOC NOUVELLE CHANZY-PARDOUX</x:v>
      </x:c>
      <x:c r="D836" s="33" t="str">
        <x:v>Travaux de restauration des miradors, de la guérite et mise aux normes électriques de la Villa Eyret et du bloc cuisine de lancien camp de concentration de Natzweiler-Struthof à Natzwiller (67) - Consultation décomposée en 6 lots - Structure et charpen</x:v>
      </x:c>
      <x:c r="E836" s="33" t="str">
        <x:v>Travaux d'installation d'échafaudages.</x:v>
      </x:c>
      <x:c r="F836" s="36" t="n">
        <x:v>574952</x:v>
      </x:c>
      <x:c r="G836" s="38" t="n">
        <x:v>43437</x:v>
      </x:c>
      <x:c r="H836" s="38" t="n">
        <x:v>43437</x:v>
      </x:c>
      <x:c r="I836" s="40" t="n">
        <x:v>44</x:v>
      </x:c>
      <x:c r="J836" s="33" t="str">
        <x:v>Marché</x:v>
      </x:c>
      <x:c r="K836" s="33" t="str">
        <x:v>Procédure adaptée</x:v>
      </x:c>
      <x:c r="L836" s="33" t="str">
        <x:v>Révisable</x:v>
      </x:c>
      <x:c r="M836" s="33" t="str">
        <x:v>(67) Bas-Rhin</x:v>
      </x:c>
      <x:c r="N836" s="33" t="str">
        <x:v>Oui</x:v>
      </x:c>
      <x:c r="O836" s="33" t="str">
        <x:v>data.gouv.fr_aife</x:v>
      </x:c>
      <x:c r="P836" s="33" t="str">
        <x:v>20182018T0008402</x:v>
      </x:c>
    </x:row>
    <x:row r="837">
      <x:c r="A837" s="33" t="str">
        <x:v>20182018T0008500</x:v>
      </x:c>
      <x:c r="B837" s="33" t="str">
        <x:v>MINARM / ESTM / EPA / ONAC - Office National des Anciens Combattants et victimes de guerre</x:v>
      </x:c>
      <x:c r="C837" s="33" t="str">
        <x:v>SOC NOUVELLE CHANZY-PARDOUX</x:v>
      </x:c>
      <x:c r="D837" s="33" t="str">
        <x:v>Travaux de restauration des miradors, de la guérite et mise aux normes électriques de la Villa Eyret et du bloc cuisine de lancien camp de concentration de Natzweiler-Struthof à Natzwiller (67) - Consultation décomposée en 6 lots - Couverture</x:v>
      </x:c>
      <x:c r="E837" s="33" t="str">
        <x:v>Travaux de couverture.</x:v>
      </x:c>
      <x:c r="F837" s="36" t="n">
        <x:v>90360</x:v>
      </x:c>
      <x:c r="G837" s="38" t="n">
        <x:v>43437</x:v>
      </x:c>
      <x:c r="H837" s="38" t="n">
        <x:v>43437</x:v>
      </x:c>
      <x:c r="I837" s="40" t="n">
        <x:v>44</x:v>
      </x:c>
      <x:c r="J837" s="33" t="str">
        <x:v>Marché</x:v>
      </x:c>
      <x:c r="K837" s="33" t="str">
        <x:v>Procédure adaptée</x:v>
      </x:c>
      <x:c r="L837" s="33" t="str">
        <x:v>Révisable</x:v>
      </x:c>
      <x:c r="M837" s="33" t="str">
        <x:v>(67) Bas-Rhin</x:v>
      </x:c>
      <x:c r="N837" s="33" t="str">
        <x:v>Oui</x:v>
      </x:c>
      <x:c r="O837" s="33" t="str">
        <x:v>data.gouv.fr_aife</x:v>
      </x:c>
      <x:c r="P837" s="33" t="str">
        <x:v>20182018T0008500</x:v>
      </x:c>
    </x:row>
    <x:row r="838">
      <x:c r="A838" s="33" t="str">
        <x:v>20182018T0008602</x:v>
      </x:c>
      <x:c r="B838" s="33" t="str">
        <x:v>MINARM / ESTM / EPA / ONAC - Office National des Anciens Combattants et victimes de guerre</x:v>
      </x:c>
      <x:c r="C838" s="33" t="str">
        <x:v>SOC NOUVELLE CHANZY-PARDOUX</x:v>
      </x:c>
      <x:c r="D838" s="33" t="str">
        <x:v>Travaux de restauration des miradors, de la guérite et mise aux normes électriques de la Villa Eyret et du bloc cuisine de lancien camp de concentration de Natzweiler-Struthof à Natzwiller (67) - Consultation décomposée en 6 lots - Maçonnerie gros uv</x:v>
      </x:c>
      <x:c r="E838" s="33" t="str">
        <x:v>Travaux de maçonnerie et de briquetage.</x:v>
      </x:c>
      <x:c r="F838" s="36" t="n">
        <x:v>164608</x:v>
      </x:c>
      <x:c r="G838" s="38" t="n">
        <x:v>43437</x:v>
      </x:c>
      <x:c r="H838" s="38" t="n">
        <x:v>43437</x:v>
      </x:c>
      <x:c r="I838" s="40" t="n">
        <x:v>44</x:v>
      </x:c>
      <x:c r="J838" s="33" t="str">
        <x:v>Marché</x:v>
      </x:c>
      <x:c r="K838" s="33" t="str">
        <x:v>Procédure adaptée</x:v>
      </x:c>
      <x:c r="L838" s="33" t="str">
        <x:v>Révisable</x:v>
      </x:c>
      <x:c r="M838" s="33" t="str">
        <x:v>(67) Bas-Rhin</x:v>
      </x:c>
      <x:c r="N838" s="33" t="str">
        <x:v>Oui</x:v>
      </x:c>
      <x:c r="O838" s="33" t="str">
        <x:v>data.gouv.fr_aife</x:v>
      </x:c>
      <x:c r="P838" s="33" t="str">
        <x:v>20182018T0008602</x:v>
      </x:c>
    </x:row>
    <x:row r="839">
      <x:c r="A839" s="33" t="str">
        <x:v>2018150914422200</x:v>
      </x:c>
      <x:c r="B839" s="33" t="str">
        <x:v>MINARM / SGA / SID / DID Cayenne - Direction d'infrastructure de la défense de Cayenne - DID Cayenne</x:v>
      </x:c>
      <x:c r="C839" s="33" t="str">
        <x:v>SANCHEZ BATIMENT</x:v>
      </x:c>
      <x:c r="D839" s="33" t="str">
        <x:v>Le projet vise à créer une aire de lavage couverte pour l’ensemble des véhicules terrestres stationnés sur Cayenne. Il comprend également la réalisation à proximité immédiate de l’aire de lavage, de locaux pour la section ravitaillement trans</x:v>
      </x:c>
      <x:c r="E839" s="33" t="str">
        <x:v>Travaux de terrassement.</x:v>
      </x:c>
      <x:c r="F839" s="36" t="n">
        <x:v>170912</x:v>
      </x:c>
      <x:c r="G839" s="38" t="n">
        <x:v>43437</x:v>
      </x:c>
      <x:c r="H839" s="38" t="n">
        <x:v>43437</x:v>
      </x:c>
      <x:c r="I839" s="40" t="n">
        <x:v>12</x:v>
      </x:c>
      <x:c r="J839" s="33" t="str">
        <x:v>Marché</x:v>
      </x:c>
      <x:c r="K839" s="33" t="str">
        <x:v>Procédure adaptée</x:v>
      </x:c>
      <x:c r="L839" s="33" t="str">
        <x:v>Révisable</x:v>
      </x:c>
      <x:c r="M839" s="33" t="str">
        <x:v>(974) Réunion</x:v>
      </x:c>
      <x:c r="N839" s="33" t="str">
        <x:v>Oui</x:v>
      </x:c>
      <x:c r="O839" s="33" t="str">
        <x:v>data.gouv.fr_aife</x:v>
      </x:c>
      <x:c r="P839" s="33" t="str">
        <x:v>2018150914422200</x:v>
      </x:c>
    </x:row>
    <x:row r="840">
      <x:c r="A840" s="33" t="str">
        <x:v>2018150914425800</x:v>
      </x:c>
      <x:c r="B840" s="33" t="str">
        <x:v>MINARM / SGA / SID / ESID Toulon - Etablissement du service d'infrastructure de la défense de Toulon - ESID Toulon</x:v>
      </x:c>
      <x:c r="C840" s="33" t="str">
        <x:v>CEGELEC DEFENSE ET NAVAL SUD-EST</x:v>
      </x:c>
      <x:c r="D840" s="33" t="str">
        <x:v>Marché subséquent n° 21 à l'AC 17-DC-1001 - STM - PEM/Sud - Bâtiment B - Renforcement des accès aux salles 303 et 305. -</x:v>
      </x:c>
      <x:c r="E840" s="33" t="str">
        <x:v>Pose de portes.</x:v>
      </x:c>
      <x:c r="F840" s="36" t="n">
        <x:v>29552</x:v>
      </x:c>
      <x:c r="G840" s="38" t="n">
        <x:v>43437</x:v>
      </x:c>
      <x:c r="H840" s="38" t="n">
        <x:v>43437</x:v>
      </x:c>
      <x:c r="I840" s="40" t="n">
        <x:v>5</x:v>
      </x:c>
      <x:c r="J840" s="33" t="str">
        <x:v>Marché subséquent</x:v>
      </x:c>
      <x:c r="K840" s="33" t="str">
        <x:v>Appel d'offres ouvert</x:v>
      </x:c>
      <x:c r="L840" s="33" t="str">
        <x:v>Ferme</x:v>
      </x:c>
      <x:c r="M840" s="33" t="str">
        <x:v>(83) Var</x:v>
      </x:c>
      <x:c r="N840" s="33" t="str">
        <x:v>Oui</x:v>
      </x:c>
      <x:c r="O840" s="33" t="str">
        <x:v>data.gouv.fr_aife</x:v>
      </x:c>
      <x:c r="P840" s="33" t="str">
        <x:v>2018150914425800</x:v>
      </x:c>
    </x:row>
    <x:row r="841">
      <x:c r="A841" s="33" t="str">
        <x:v>2018170009036100</x:v>
      </x:c>
      <x:c r="B841" s="33" t="str">
        <x:v>MINARM / SGA / SPAC - Service Parisien de Soutien de l'Administration Centrale - SPAC</x:v>
      </x:c>
      <x:c r="C841" s="33" t="str">
        <x:v>VAGNAUX DORIOL ET ASSOCIES</x:v>
      </x:c>
      <x:c r="D841" s="33" t="str">
        <x:v>Réalisation de formations de préparation à lentrée dans le monde de lentreprise au profit des officiers généraux en transition de carrière et accompagnement individuel spécialisé (3 lots).-Management en entreprise</x:v>
      </x:c>
      <x:c r="E841" s="33" t="str">
        <x:v>Services aux entreprises : droit, marketing, conseil, recrutement, impression et sécurité</x:v>
      </x:c>
      <x:c r="F841" s="36" t="n">
        <x:v>120400</x:v>
      </x:c>
      <x:c r="G841" s="38" t="n">
        <x:v>43437</x:v>
      </x:c>
      <x:c r="H841" s="38" t="n">
        <x:v>43437</x:v>
      </x:c>
      <x:c r="I841" s="40" t="n">
        <x:v>48</x:v>
      </x:c>
      <x:c r="J841" s="33" t="str">
        <x:v>Accord-cadre</x:v>
      </x:c>
      <x:c r="K841" s="33" t="str">
        <x:v>Procédure adaptée</x:v>
      </x:c>
      <x:c r="L841" s="33" t="str">
        <x:v>Révisable</x:v>
      </x:c>
      <x:c r="M841" s="33" t="str">
        <x:v>(75) Paris</x:v>
      </x:c>
      <x:c r="N841" s="33" t="str">
        <x:v>Oui</x:v>
      </x:c>
      <x:c r="O841" s="33" t="str">
        <x:v>data.gouv.fr_aife</x:v>
      </x:c>
      <x:c r="P841" s="33" t="str">
        <x:v>2018170009036100</x:v>
      </x:c>
    </x:row>
    <x:row r="842">
      <x:c r="A842" s="33" t="str">
        <x:v>20182018F7232600</x:v>
      </x:c>
      <x:c r="B842" s="33" t="str">
        <x:v>MINARM / SSF / DSSF Brest - Direction du service de soutien de la flotte de Brest - DSSF Brest</x:v>
      </x:c>
      <x:c r="C842" s="33" t="str">
        <x:v>DISTRAME</x:v>
      </x:c>
      <x:c r="D842" s="33" t="str">
        <x:v>Fourniture d'appareils de mesure et accessoires associés de marques diverses ou équivalentes destinés à équiper les bâtiments et unités à terre de la Marine Nationale</x:v>
      </x:c>
      <x:c r="E842" s="33" t="str">
        <x:v>Matériel de mesure et de contrôle.</x:v>
      </x:c>
      <x:c r="F842" s="36" t="n">
        <x:v>260164</x:v>
      </x:c>
      <x:c r="G842" s="38" t="n">
        <x:v>43437</x:v>
      </x:c>
      <x:c r="H842" s="38" t="n">
        <x:v>43437</x:v>
      </x:c>
      <x:c r="I842" s="40" t="n">
        <x:v>48</x:v>
      </x:c>
      <x:c r="J842" s="33" t="str">
        <x:v>Accord-cadre</x:v>
      </x:c>
      <x:c r="K842" s="33" t="str">
        <x:v>Appel d'offres restreint</x:v>
      </x:c>
      <x:c r="L842" s="33" t="str"/>
      <x:c r="M842" s="33" t="str">
        <x:v>(29) Finistère</x:v>
      </x:c>
      <x:c r="N842" s="33" t="str">
        <x:v>Oui</x:v>
      </x:c>
      <x:c r="O842" s="33" t="str">
        <x:v>data.gouv.fr_aife</x:v>
      </x:c>
      <x:c r="P842" s="33" t="str">
        <x:v>20182018F7232600</x:v>
      </x:c>
    </x:row>
    <x:row r="843">
      <x:c r="A843" s="33" t="str">
        <x:v>20182018T0008603</x:v>
      </x:c>
      <x:c r="B843" s="33" t="str">
        <x:v>MINARM / ESTM / EPA / ONAC - Office National des Anciens Combattants et victimes de guerre</x:v>
      </x:c>
      <x:c r="C843" s="33" t="str">
        <x:v>SOC NOUVELLE CHANZY-PARDOUX</x:v>
      </x:c>
      <x:c r="D843" s="33" t="str">
        <x:v>Travaux de restauration des miradors, de la guérite et mise aux normes électriques de la Villa Eyret et du bloc cuisine de lancien camp de concentration de Natzweiler-Struthof à Natzwiller (67) - Consultation décomposée en 6 lots - Maçonnerie gros uv</x:v>
      </x:c>
      <x:c r="E843" s="33" t="str">
        <x:v>Travaux de maçonnerie et de briquetage.</x:v>
      </x:c>
      <x:c r="F843" s="36" t="n">
        <x:v>164608</x:v>
      </x:c>
      <x:c r="G843" s="38" t="n">
        <x:v>43437</x:v>
      </x:c>
      <x:c r="H843" s="38" t="n">
        <x:v>43437</x:v>
      </x:c>
      <x:c r="I843" s="40" t="n">
        <x:v>44</x:v>
      </x:c>
      <x:c r="J843" s="33" t="str">
        <x:v>Marché</x:v>
      </x:c>
      <x:c r="K843" s="33" t="str">
        <x:v>Procédure adaptée</x:v>
      </x:c>
      <x:c r="L843" s="33" t="str">
        <x:v>Révisable</x:v>
      </x:c>
      <x:c r="M843" s="33" t="str">
        <x:v>(67) Bas-Rhin</x:v>
      </x:c>
      <x:c r="N843" s="33" t="str">
        <x:v>Oui</x:v>
      </x:c>
      <x:c r="O843" s="33" t="str">
        <x:v>data.gouv.fr_aife</x:v>
      </x:c>
      <x:c r="P843" s="33" t="str">
        <x:v>20182018T0008603</x:v>
      </x:c>
    </x:row>
    <x:row r="844">
      <x:c r="A844" s="33" t="str">
        <x:v>2018110004447100</x:v>
      </x:c>
      <x:c r="B844" s="33" t="str">
        <x:v>MINARM / SGA / SID / ESID Bordeaux - Etablissement du service d'infrastructure de la défense de Bordeaux - ESID Bordeaux</x:v>
      </x:c>
      <x:c r="C844" s="33" t="str">
        <x:v>BERNADET CONSTRUCTION</x:v>
      </x:c>
      <x:c r="D844" s="33" t="str">
        <x:v>CAZAUX (33) - Base Aérienne (B.A) 120 – Création de courettes au profit de l’escadron cynophile</x:v>
      </x:c>
      <x:c r="E844" s="33" t="str">
        <x:v>Travaux de construction de chenils.</x:v>
      </x:c>
      <x:c r="F844" s="36" t="n">
        <x:v>182403</x:v>
      </x:c>
      <x:c r="G844" s="38" t="n">
        <x:v>43437</x:v>
      </x:c>
      <x:c r="H844" s="38" t="n">
        <x:v>43437</x:v>
      </x:c>
      <x:c r="I844" s="40" t="n">
        <x:v>11</x:v>
      </x:c>
      <x:c r="J844" s="33" t="str">
        <x:v>Marché</x:v>
      </x:c>
      <x:c r="K844" s="33" t="str">
        <x:v>Procédure adaptée</x:v>
      </x:c>
      <x:c r="L844" s="33" t="str">
        <x:v>Révisable</x:v>
      </x:c>
      <x:c r="M844" s="33" t="str">
        <x:v>(33) Gironde</x:v>
      </x:c>
      <x:c r="N844" s="33" t="str">
        <x:v>Oui</x:v>
      </x:c>
      <x:c r="O844" s="33" t="str">
        <x:v>data.gouv.fr_aife</x:v>
      </x:c>
      <x:c r="P844" s="33" t="str">
        <x:v>2018110004447100</x:v>
      </x:c>
    </x:row>
    <x:row r="845">
      <x:c r="A845" s="33" t="str">
        <x:v>20182018F4110900</x:v>
      </x:c>
      <x:c r="B845" s="33" t="str">
        <x:v>MINARM / SIAé / AIA Ambérieu - Atelier Industriel de l'Aéronautique d'Ambérieu en Bugey - AIA Ambérieu</x:v>
      </x:c>
      <x:c r="C845" s="33" t="str">
        <x:v>EUROTECH INTERNATIONAL</x:v>
      </x:c>
      <x:c r="D845" s="33" t="str">
        <x:v>15042 - Lot 2 18ème mise en concurrence - Accord cadre pour la fourniture de rechanges non spécifiques à usage aéronautique pour les ateliers industriels de l'aéronautique d'Ambérieu en Bugey, de Bordeaux, de Bretagne, de Clermont-Ferrand et de Cuer</x:v>
      </x:c>
      <x:c r="E845" s="33" t="str">
        <x:v>Fournitures électroniques, électromécaniques et électrotechniques.</x:v>
      </x:c>
      <x:c r="F845" s="36" t="n">
        <x:v>8364</x:v>
      </x:c>
      <x:c r="G845" s="38" t="n">
        <x:v>43437</x:v>
      </x:c>
      <x:c r="H845" s="38" t="n">
        <x:v>43437</x:v>
      </x:c>
      <x:c r="I845" s="40" t="n">
        <x:v>7</x:v>
      </x:c>
      <x:c r="J845" s="33" t="str">
        <x:v>Marché subséquent</x:v>
      </x:c>
      <x:c r="K845" s="33" t="str"/>
      <x:c r="L845" s="33" t="str">
        <x:v>Ferme</x:v>
      </x:c>
      <x:c r="M845" s="33" t="str">
        <x:v>(01) Ain</x:v>
      </x:c>
      <x:c r="N845" s="33" t="str">
        <x:v>Oui</x:v>
      </x:c>
      <x:c r="O845" s="33" t="str">
        <x:v>data.gouv.fr_aife</x:v>
      </x:c>
      <x:c r="P845" s="33" t="str">
        <x:v>20182018F4110900</x:v>
      </x:c>
    </x:row>
    <x:row r="846">
      <x:c r="A846" s="33" t="str">
        <x:v>20182018F7495800</x:v>
      </x:c>
      <x:c r="B846" s="33" t="str">
        <x:v>MINARM / SSF / DSSF Brest - Direction du service de soutien de la flotte de Brest - DSSF Brest</x:v>
      </x:c>
      <x:c r="C846" s="33" t="str">
        <x:v>LOGNAV-CM</x:v>
      </x:c>
      <x:c r="D846" s="33" t="str">
        <x:v>Fourniture d'appareils de mesure et accessoires associés de marques diverses ou équivalentes destinés à équiper les bâtiments et unités à terre de la Marine Nationale</x:v>
      </x:c>
      <x:c r="E846" s="33" t="str">
        <x:v>Matériel de mesure et de contrôle.</x:v>
      </x:c>
      <x:c r="F846" s="36" t="n">
        <x:v>260164</x:v>
      </x:c>
      <x:c r="G846" s="38" t="n">
        <x:v>43437</x:v>
      </x:c>
      <x:c r="H846" s="38" t="n">
        <x:v>43437</x:v>
      </x:c>
      <x:c r="I846" s="40" t="n">
        <x:v>48</x:v>
      </x:c>
      <x:c r="J846" s="33" t="str">
        <x:v>Accord-cadre</x:v>
      </x:c>
      <x:c r="K846" s="33" t="str">
        <x:v>Appel d'offres restreint</x:v>
      </x:c>
      <x:c r="L846" s="33" t="str"/>
      <x:c r="M846" s="33" t="str">
        <x:v>(29) Finistère</x:v>
      </x:c>
      <x:c r="N846" s="33" t="str">
        <x:v>Oui</x:v>
      </x:c>
      <x:c r="O846" s="33" t="str">
        <x:v>data.gouv.fr_aife</x:v>
      </x:c>
      <x:c r="P846" s="33" t="str">
        <x:v>20182018F7495800</x:v>
      </x:c>
    </x:row>
    <x:row r="847">
      <x:c r="A847" s="33" t="str">
        <x:v>2018100013235800</x:v>
      </x:c>
      <x:c r="B847" s="33" t="str">
        <x:v>MINARM / SSF / DSSF Toulon - Direction du service de soutien de la flotte de Toulon - DSSF Toulon</x:v>
      </x:c>
      <x:c r="C847" s="33" t="str">
        <x:v>MEGA SARL</x:v>
      </x:c>
      <x:c r="D847" s="33" t="str">
        <x:v>Accord cadre M16T20 010 relatif à l’approvisionnement de matériels électriques et électroniques pour le maintien en condition opérationnelle (MCO) des Eléments de Force Maritime (EFM) et des Eléments de Force Armées (EFA). -</x:v>
      </x:c>
      <x:c r="E847" s="33" t="str">
        <x:v>Pièces électroniques et électriques de rechange pour navires de guerre.</x:v>
      </x:c>
      <x:c r="F847" s="36" t="n">
        <x:v>986</x:v>
      </x:c>
      <x:c r="G847" s="38" t="n">
        <x:v>43437</x:v>
      </x:c>
      <x:c r="H847" s="38" t="n">
        <x:v>43437</x:v>
      </x:c>
      <x:c r="I847" s="40" t="n">
        <x:v>12</x:v>
      </x:c>
      <x:c r="J847" s="33" t="str">
        <x:v>Marché subséquent</x:v>
      </x:c>
      <x:c r="K847" s="33" t="str">
        <x:v>Appel d'offres ouvert</x:v>
      </x:c>
      <x:c r="L847" s="33" t="str">
        <x:v>Ferme et actualisable</x:v>
      </x:c>
      <x:c r="M847" s="33" t="str">
        <x:v>(83) Var</x:v>
      </x:c>
      <x:c r="N847" s="33" t="str">
        <x:v>Oui</x:v>
      </x:c>
      <x:c r="O847" s="33" t="str">
        <x:v>data.gouv.fr_aife</x:v>
      </x:c>
      <x:c r="P847" s="33" t="str">
        <x:v>2018100013235800</x:v>
      </x:c>
    </x:row>
    <x:row r="848">
      <x:c r="A848" s="33" t="str">
        <x:v>2018130013968600</x:v>
      </x:c>
      <x:c r="B848" s="33" t="str">
        <x:v>MINARM / SGA / SID / ESID Bordeaux - Etablissement du service d'infrastructure de la défense de Bordeaux - ESID Bordeaux</x:v>
      </x:c>
      <x:c r="C848" s="33" t="str">
        <x:v>BERENGIER DEPOLLUTION</x:v>
      </x:c>
      <x:c r="D848" s="33" t="str">
        <x:v>TOULOUSE (31) - accord cadre à bons de commande relatif à l'exécution de diagnostics sommaires préalables et de chantiers de dépollution pyrotechnique pour les emprises relevant du domaine de compétence de l'USID de Toulouse (31)</x:v>
      </x:c>
      <x:c r="E848" s="33" t="str">
        <x:v>Travaux de décontamination du sol.</x:v>
      </x:c>
      <x:c r="F848" s="36" t="n">
        <x:v>5000000</x:v>
      </x:c>
      <x:c r="G848" s="38" t="n">
        <x:v>43438</x:v>
      </x:c>
      <x:c r="H848" s="38" t="n">
        <x:v>43438</x:v>
      </x:c>
      <x:c r="I848" s="40" t="n">
        <x:v>48</x:v>
      </x:c>
      <x:c r="J848" s="33" t="str">
        <x:v>Marché</x:v>
      </x:c>
      <x:c r="K848" s="33" t="str">
        <x:v>Procédure adaptée</x:v>
      </x:c>
      <x:c r="L848" s="33" t="str">
        <x:v>Révisable</x:v>
      </x:c>
      <x:c r="M848" s="33" t="str">
        <x:v>(64) Pyrénées-Atlantiques</x:v>
      </x:c>
      <x:c r="N848" s="33" t="str">
        <x:v>Oui</x:v>
      </x:c>
      <x:c r="O848" s="33" t="str">
        <x:v>data.gouv.fr_aife</x:v>
      </x:c>
      <x:c r="P848" s="33" t="str">
        <x:v>2018130013968600</x:v>
      </x:c>
    </x:row>
    <x:row r="849">
      <x:c r="A849" s="33" t="str">
        <x:v>2018150908718500</x:v>
      </x:c>
      <x:c r="B849" s="33" t="str">
        <x:v>MINARM / SGA / SID / ESID BREST - Etablissement du service d'infrastructure de la défense de BREST - ESID Brest</x:v>
      </x:c>
      <x:c r="C849" s="33" t="str">
        <x:v>ATLANTIC MARINE</x:v>
      </x:c>
      <x:c r="D849" s="33" t="str">
        <x:v>Base Navale de Brest Fabrication, livraison et mise en place de 4 passerelles.</x:v>
      </x:c>
      <x:c r="E849" s="33" t="str">
        <x:v>Travaux de construction.</x:v>
      </x:c>
      <x:c r="F849" s="36" t="n">
        <x:v>122760</x:v>
      </x:c>
      <x:c r="G849" s="38" t="n">
        <x:v>43438</x:v>
      </x:c>
      <x:c r="H849" s="38" t="n">
        <x:v>43438</x:v>
      </x:c>
      <x:c r="I849" s="40" t="n">
        <x:v>24</x:v>
      </x:c>
      <x:c r="J849" s="33" t="str">
        <x:v>Marché</x:v>
      </x:c>
      <x:c r="K849" s="33" t="str">
        <x:v>Procédure adaptée</x:v>
      </x:c>
      <x:c r="L849" s="33" t="str">
        <x:v>Révisable</x:v>
      </x:c>
      <x:c r="M849" s="33" t="str">
        <x:v>(29) Finistère</x:v>
      </x:c>
      <x:c r="N849" s="33" t="str">
        <x:v>Oui</x:v>
      </x:c>
      <x:c r="O849" s="33" t="str">
        <x:v>data.gouv.fr_aife</x:v>
      </x:c>
      <x:c r="P849" s="33" t="str">
        <x:v>2018150908718500</x:v>
      </x:c>
    </x:row>
    <x:row r="850">
      <x:c r="A850" s="33" t="str">
        <x:v>2018150914008000</x:v>
      </x:c>
      <x:c r="B850" s="33" t="str">
        <x:v>MINARM / SGA / SPAC - Service Parisien de Soutien de l'Administration Centrale - SPAC</x:v>
      </x:c>
      <x:c r="C850" s="33" t="str">
        <x:v>INSTITUT RELATIONS INT STRATEGIQUES</x:v>
      </x:c>
      <x:c r="D850" s="33" t="str">
        <x:v>Étude prospective et stratégique n° 2018-18 : " Séminaire : Prévention et lutte contre les trafics d’armes classiques : Nouveaux défis et perspectives ».</x:v>
      </x:c>
      <x:c r="E850" s="33" t="str">
        <x:v>Services de défense.</x:v>
      </x:c>
      <x:c r="F850" s="36" t="n">
        <x:v>54820</x:v>
      </x:c>
      <x:c r="G850" s="38" t="n">
        <x:v>43438</x:v>
      </x:c>
      <x:c r="H850" s="38" t="n">
        <x:v>43438</x:v>
      </x:c>
      <x:c r="I850" s="40" t="n">
        <x:v>7</x:v>
      </x:c>
      <x:c r="J850" s="33" t="str">
        <x:v>Marché</x:v>
      </x:c>
      <x:c r="K850" s="33" t="str">
        <x:v>Procédure adaptée</x:v>
      </x:c>
      <x:c r="L850" s="33" t="str">
        <x:v>Ferme et actualisable</x:v>
      </x:c>
      <x:c r="M850" s="33" t="str">
        <x:v>(75) Paris</x:v>
      </x:c>
      <x:c r="N850" s="33" t="str">
        <x:v>Oui</x:v>
      </x:c>
      <x:c r="O850" s="33" t="str">
        <x:v>data.gouv.fr_aife</x:v>
      </x:c>
      <x:c r="P850" s="33" t="str">
        <x:v>2018150914008000</x:v>
      </x:c>
    </x:row>
    <x:row r="851">
      <x:c r="A851" s="33" t="str">
        <x:v>2018130013914300</x:v>
      </x:c>
      <x:c r="B851" s="33" t="str">
        <x:v>MINARM / SCA / PFC RBT - Plate-forme commissariat Rambouillet</x:v>
      </x:c>
      <x:c r="C851" s="33" t="str">
        <x:v>ROSE VELVET</x:v>
      </x:c>
      <x:c r="D851" s="33" t="str">
        <x:v>FOURNITURE D'EFFETS CHAUSSANTS SERVICE COURANT - -LOT 1 Chaussures basses noires cadres, - -LOT 2 Chaussures basses noires cadres, - -LOT 3 Chaussures basses noires cadres, - -LOT 4 Chaussures basses blanche IA, - -LOT 5 Chaussures basses PFM (chaussure...</x:v>
      </x:c>
      <x:c r="E851" s="33" t="str">
        <x:v>Chaussures de ville.</x:v>
      </x:c>
      <x:c r="F851" s="36" t="n">
        <x:v>2800000</x:v>
      </x:c>
      <x:c r="G851" s="38" t="n">
        <x:v>43438</x:v>
      </x:c>
      <x:c r="H851" s="38" t="n">
        <x:v>43438</x:v>
      </x:c>
      <x:c r="I851" s="40" t="n">
        <x:v>48</x:v>
      </x:c>
      <x:c r="J851" s="33" t="str">
        <x:v>Accord-cadre</x:v>
      </x:c>
      <x:c r="K851" s="33" t="str">
        <x:v>Appel d'offres ouvert</x:v>
      </x:c>
      <x:c r="L851" s="33" t="str">
        <x:v>Révisable</x:v>
      </x:c>
      <x:c r="M851" s="33" t="str">
        <x:v>(78) Yvelines</x:v>
      </x:c>
      <x:c r="N851" s="33" t="str">
        <x:v>Oui</x:v>
      </x:c>
      <x:c r="O851" s="33" t="str">
        <x:v>data.gouv.fr_aife</x:v>
      </x:c>
      <x:c r="P851" s="33" t="str">
        <x:v>2018130013914300</x:v>
      </x:c>
    </x:row>
    <x:row r="852">
      <x:c r="A852" s="33" t="str">
        <x:v>2018100013236700</x:v>
      </x:c>
      <x:c r="B852" s="33" t="str">
        <x:v>MINARM / SSF / DSSF Toulon - Direction du service de soutien de la flotte de Toulon - DSSF Toulon</x:v>
      </x:c>
      <x:c r="C852" s="33" t="str">
        <x:v>LE LITTORAL</x:v>
      </x:c>
      <x:c r="D852" s="33" t="str">
        <x:v>Accord cadre N° 2015M15T20052 relatif à l’approvisionnement de matériels de filtration pour le maintien en condition opérationnelle (MCO) des Eléments de Force Maritime (EFM) et des Eléments de Force Armées (EFA). - Marché subséquent : N° K18T20</x:v>
      </x:c>
      <x:c r="E852" s="33" t="str">
        <x:v>Filtres à huile, filtres à essence et filtres à air.</x:v>
      </x:c>
      <x:c r="F852" s="36" t="n">
        <x:v>25910</x:v>
      </x:c>
      <x:c r="G852" s="38" t="n">
        <x:v>43438</x:v>
      </x:c>
      <x:c r="H852" s="38" t="n">
        <x:v>43438</x:v>
      </x:c>
      <x:c r="I852" s="40" t="n">
        <x:v>7</x:v>
      </x:c>
      <x:c r="J852" s="33" t="str">
        <x:v>Marché subséquent</x:v>
      </x:c>
      <x:c r="K852" s="33" t="str">
        <x:v>Appel d'offres ouvert</x:v>
      </x:c>
      <x:c r="L852" s="33" t="str">
        <x:v>Ferme et actualisable</x:v>
      </x:c>
      <x:c r="M852" s="33" t="str">
        <x:v>(83) Var</x:v>
      </x:c>
      <x:c r="N852" s="33" t="str">
        <x:v>Oui</x:v>
      </x:c>
      <x:c r="O852" s="33" t="str">
        <x:v>data.gouv.fr_aife</x:v>
      </x:c>
      <x:c r="P852" s="33" t="str">
        <x:v>2018100013236700</x:v>
      </x:c>
    </x:row>
    <x:row r="853">
      <x:c r="A853" s="33" t="str">
        <x:v>20182018T0008700</x:v>
      </x:c>
      <x:c r="B853" s="33" t="str">
        <x:v>MINARM / ESTM / EPA / ONAC - Office National des Anciens Combattants et victimes de guerre</x:v>
      </x:c>
      <x:c r="C853" s="33" t="str">
        <x:v>SCHAFFNER SA</x:v>
      </x:c>
      <x:c r="D853" s="33" t="str">
        <x:v>Travaux de restauration des miradors, de la guérite et mise aux normes électriques de la Villa Eyret et du bloc cuisine de lancien camp de concentration de Natzweiler-Struthof à Natzwiller (67) - Consultation décomposée en 6 lots - Serrurerie agenceme</x:v>
      </x:c>
      <x:c r="E853" s="33" t="str">
        <x:v>Serrurerie.</x:v>
      </x:c>
      <x:c r="F853" s="36" t="n">
        <x:v>164852</x:v>
      </x:c>
      <x:c r="G853" s="38" t="n">
        <x:v>43438</x:v>
      </x:c>
      <x:c r="H853" s="38" t="n">
        <x:v>43438</x:v>
      </x:c>
      <x:c r="I853" s="40" t="n">
        <x:v>44</x:v>
      </x:c>
      <x:c r="J853" s="33" t="str">
        <x:v>Marché</x:v>
      </x:c>
      <x:c r="K853" s="33" t="str">
        <x:v>Procédure adaptée</x:v>
      </x:c>
      <x:c r="L853" s="33" t="str">
        <x:v>Révisable</x:v>
      </x:c>
      <x:c r="M853" s="33" t="str">
        <x:v>(67) Bas-Rhin</x:v>
      </x:c>
      <x:c r="N853" s="33" t="str">
        <x:v>Oui</x:v>
      </x:c>
      <x:c r="O853" s="33" t="str">
        <x:v>data.gouv.fr_aife</x:v>
      </x:c>
      <x:c r="P853" s="33" t="str">
        <x:v>20182018T0008700</x:v>
      </x:c>
    </x:row>
    <x:row r="854">
      <x:c r="A854" s="33" t="str">
        <x:v>2018150915779100</x:v>
      </x:c>
      <x:c r="B854" s="33" t="str">
        <x:v>MINARM / SGA / SID / ESID Rennes - Etablissement du service d'infrastructure de la défense de Rennes - ESID Rennes</x:v>
      </x:c>
      <x:c r="C854" s="33" t="str">
        <x:v>MENUISERIE DALMONT</x:v>
      </x:c>
      <x:c r="D854" s="33" t="str">
        <x:v>Base de Défense de Cherbourg - 500129511L -Port militaire de Cherbourg - Bâtiment 033 - - USID CHERBOURG - Transformation de locaux et création d'une salle de réunion - Travaux de menuiseries/plâtreries</x:v>
      </x:c>
      <x:c r="E854" s="33" t="str">
        <x:v>Travaux de menuiserie.</x:v>
      </x:c>
      <x:c r="F854" s="36" t="n">
        <x:v>22791</x:v>
      </x:c>
      <x:c r="G854" s="38" t="n">
        <x:v>43438</x:v>
      </x:c>
      <x:c r="H854" s="38" t="n">
        <x:v>43438</x:v>
      </x:c>
      <x:c r="I854" s="40" t="n">
        <x:v>4</x:v>
      </x:c>
      <x:c r="J854" s="33" t="str">
        <x:v>Marché</x:v>
      </x:c>
      <x:c r="K854" s="33" t="str">
        <x:v>Appel d'offres ouvert</x:v>
      </x:c>
      <x:c r="L854" s="33" t="str">
        <x:v>Ferme</x:v>
      </x:c>
      <x:c r="M854" s="33" t="str">
        <x:v>(50) Manche</x:v>
      </x:c>
      <x:c r="N854" s="33" t="str">
        <x:v>Oui</x:v>
      </x:c>
      <x:c r="O854" s="33" t="str">
        <x:v>data.gouv.fr_aife</x:v>
      </x:c>
      <x:c r="P854" s="33" t="str">
        <x:v>2018150915779100</x:v>
      </x:c>
    </x:row>
    <x:row r="855">
      <x:c r="A855" s="33" t="str">
        <x:v>20182018S6549200</x:v>
      </x:c>
      <x:c r="B855" s="33" t="str">
        <x:v>MINARM / SGA / SID / DID Cayenne - Direction d'infrastructure de la défense de Cayenne - DID Cayenne</x:v>
      </x:c>
      <x:c r="C855" s="33" t="str">
        <x:v>SARL BILLON</x:v>
      </x:c>
      <x:c r="D855" s="33" t="str">
        <x:v>Le présent accord-cadre a pour objectif : - -d’assurer la maintenance préventive et corrective des groupes électrogènes de secours des forces armées en Guyane ; - -de permettre grâce aux prestations de maintenance la pérennisation des équipements</x:v>
      </x:c>
      <x:c r="E855" s="33" t="str">
        <x:v>Services de réparation et d'entretien de générateurs.</x:v>
      </x:c>
      <x:c r="F855" s="36" t="n">
        <x:v>3990</x:v>
      </x:c>
      <x:c r="G855" s="38" t="n">
        <x:v>43438</x:v>
      </x:c>
      <x:c r="H855" s="38" t="n">
        <x:v>43438</x:v>
      </x:c>
      <x:c r="I855" s="40" t="n">
        <x:v>48</x:v>
      </x:c>
      <x:c r="J855" s="33" t="str">
        <x:v>Accord-cadre</x:v>
      </x:c>
      <x:c r="K855" s="33" t="str">
        <x:v>Appel d'offres ouvert</x:v>
      </x:c>
      <x:c r="L855" s="33" t="str">
        <x:v>Ferme et actualisable</x:v>
      </x:c>
      <x:c r="M855" s="33" t="str">
        <x:v>(973) Guyane</x:v>
      </x:c>
      <x:c r="N855" s="33" t="str">
        <x:v>Oui</x:v>
      </x:c>
      <x:c r="O855" s="33" t="str">
        <x:v>data.gouv.fr_aife</x:v>
      </x:c>
      <x:c r="P855" s="33" t="str">
        <x:v>20182018S6549200</x:v>
      </x:c>
    </x:row>
    <x:row r="856">
      <x:c r="A856" s="33" t="str">
        <x:v>2018130013927600</x:v>
      </x:c>
      <x:c r="B856" s="33" t="str">
        <x:v>MINARM / SCA / PFC Ouest - Plate-forme commissariat Ouest (Rennes)</x:v>
      </x:c>
      <x:c r="C856" s="33" t="str"/>
      <x:c r="D856" s="33" t="str">
        <x:v>Mise à disposition de contenants, collecte, enlèvement et traitement des déchets sur les différents sites du Groupement de Soutien de la Base de Défense d'Angers Le Mans Saumur - mise à disposition de contenants, collecte, enlèvement et traitement</x:v>
      </x:c>
      <x:c r="E856" s="33" t="str">
        <x:v>Elimination et traitement des ordures.</x:v>
      </x:c>
      <x:c r="F856" s="36" t="n">
        <x:v>83868</x:v>
      </x:c>
      <x:c r="G856" s="38" t="n">
        <x:v>43438</x:v>
      </x:c>
      <x:c r="H856" s="38" t="n">
        <x:v>43438</x:v>
      </x:c>
      <x:c r="I856" s="40" t="n">
        <x:v>48</x:v>
      </x:c>
      <x:c r="J856" s="33" t="str">
        <x:v>Accord-cadre</x:v>
      </x:c>
      <x:c r="K856" s="33" t="str">
        <x:v>Appel d'offres ouvert</x:v>
      </x:c>
      <x:c r="L856" s="33" t="str">
        <x:v>Révisable</x:v>
      </x:c>
      <x:c r="M856" s="33" t="str">
        <x:v>(49) Maine-et-Loire</x:v>
      </x:c>
      <x:c r="N856" s="33" t="str">
        <x:v>Oui</x:v>
      </x:c>
      <x:c r="O856" s="33" t="str">
        <x:v>data.gouv.fr_aife</x:v>
      </x:c>
      <x:c r="P856" s="33" t="str">
        <x:v>2018130013927600</x:v>
      </x:c>
    </x:row>
    <x:row r="857">
      <x:c r="A857" s="33" t="str">
        <x:v>2018130013928700</x:v>
      </x:c>
      <x:c r="B857" s="33" t="str">
        <x:v>MINARM / SCA / PFC Ouest - Plate-forme commissariat Ouest (Rennes)</x:v>
      </x:c>
      <x:c r="C857" s="33" t="str">
        <x:v>SUEZ RV OUEST</x:v>
      </x:c>
      <x:c r="D857" s="33" t="str">
        <x:v>Mise à disposition de contenants, collecte, enlèvement et traitement des déchets sur les différents sites du Groupement de Soutien de la Base de Défense d'Angers Le Mans Saumur - mise à disposition de contenants, collecte et traitements de bio-déch</x:v>
      </x:c>
      <x:c r="E857" s="33" t="str">
        <x:v>Elimination et traitement des ordures.</x:v>
      </x:c>
      <x:c r="F857" s="36" t="n">
        <x:v>3887</x:v>
      </x:c>
      <x:c r="G857" s="38" t="n">
        <x:v>43438</x:v>
      </x:c>
      <x:c r="H857" s="38" t="n">
        <x:v>43438</x:v>
      </x:c>
      <x:c r="I857" s="40" t="n">
        <x:v>48</x:v>
      </x:c>
      <x:c r="J857" s="33" t="str">
        <x:v>Accord-cadre</x:v>
      </x:c>
      <x:c r="K857" s="33" t="str">
        <x:v>Appel d'offres ouvert</x:v>
      </x:c>
      <x:c r="L857" s="33" t="str">
        <x:v>Révisable</x:v>
      </x:c>
      <x:c r="M857" s="33" t="str">
        <x:v>(49) Maine-et-Loire</x:v>
      </x:c>
      <x:c r="N857" s="33" t="str">
        <x:v>Oui</x:v>
      </x:c>
      <x:c r="O857" s="33" t="str">
        <x:v>data.gouv.fr_aife</x:v>
      </x:c>
      <x:c r="P857" s="33" t="str">
        <x:v>2018130013928700</x:v>
      </x:c>
    </x:row>
    <x:row r="858">
      <x:c r="A858" s="33" t="str">
        <x:v>2018130013935400</x:v>
      </x:c>
      <x:c r="B858" s="33" t="str">
        <x:v>MINARM / SCA / PFC Ouest - Plate-forme commissariat Ouest (Rennes)</x:v>
      </x:c>
      <x:c r="C858" s="33" t="str">
        <x:v>SUEZ RV OUEST</x:v>
      </x:c>
      <x:c r="D858" s="33" t="str">
        <x:v>Mise à disposition de contenants, collecte, enlèvement et traitement des déchets sur les différents sites du Groupement de Soutien de la Base de Défense d'Angers Le Mans Saumur - mise à disposition de contenants, collecte, enlèvement et traitement</x:v>
      </x:c>
      <x:c r="E858" s="33" t="str">
        <x:v>Elimination et traitement des ordures.</x:v>
      </x:c>
      <x:c r="F858" s="36" t="n">
        <x:v>82781</x:v>
      </x:c>
      <x:c r="G858" s="38" t="n">
        <x:v>43438</x:v>
      </x:c>
      <x:c r="H858" s="38" t="n">
        <x:v>43438</x:v>
      </x:c>
      <x:c r="I858" s="40" t="n">
        <x:v>48</x:v>
      </x:c>
      <x:c r="J858" s="33" t="str">
        <x:v>Accord-cadre</x:v>
      </x:c>
      <x:c r="K858" s="33" t="str">
        <x:v>Appel d'offres ouvert</x:v>
      </x:c>
      <x:c r="L858" s="33" t="str">
        <x:v>Révisable</x:v>
      </x:c>
      <x:c r="M858" s="33" t="str">
        <x:v>(49) Maine-et-Loire</x:v>
      </x:c>
      <x:c r="N858" s="33" t="str">
        <x:v>Oui</x:v>
      </x:c>
      <x:c r="O858" s="33" t="str">
        <x:v>data.gouv.fr_aife</x:v>
      </x:c>
      <x:c r="P858" s="33" t="str">
        <x:v>2018130013935400</x:v>
      </x:c>
    </x:row>
    <x:row r="859">
      <x:c r="A859" s="33" t="str">
        <x:v>2018130013910700</x:v>
      </x:c>
      <x:c r="B859" s="33" t="str">
        <x:v>MINARM / SCA / PFC RBT - Plate-forme commissariat Rambouillet</x:v>
      </x:c>
      <x:c r="C859" s="33" t="str">
        <x:v>ETABLISSEMENTS CLEON</x:v>
      </x:c>
      <x:c r="D859" s="33" t="str">
        <x:v>FOURNITURE D'EFFETS CHAUSSANTS SERVICE COURANT - -LOT 1 Chaussures basses noires cadres, - -LOT 2 Chaussures basses noires cadres, - -LOT 3 Chaussures basses noires cadres, - -LOT 4 Chaussures basses blanche IA, - -LOT 5 Chaussures basses PFM (chaussure...</x:v>
      </x:c>
      <x:c r="E859" s="33" t="str">
        <x:v>Chaussures de ville.</x:v>
      </x:c>
      <x:c r="F859" s="36" t="n">
        <x:v>2225000</x:v>
      </x:c>
      <x:c r="G859" s="38" t="n">
        <x:v>43438</x:v>
      </x:c>
      <x:c r="H859" s="38" t="n">
        <x:v>43438</x:v>
      </x:c>
      <x:c r="I859" s="40" t="n">
        <x:v>48</x:v>
      </x:c>
      <x:c r="J859" s="33" t="str">
        <x:v>Accord-cadre</x:v>
      </x:c>
      <x:c r="K859" s="33" t="str">
        <x:v>Appel d'offres ouvert</x:v>
      </x:c>
      <x:c r="L859" s="33" t="str">
        <x:v>Révisable</x:v>
      </x:c>
      <x:c r="M859" s="33" t="str">
        <x:v>(78) Yvelines</x:v>
      </x:c>
      <x:c r="N859" s="33" t="str">
        <x:v>Oui</x:v>
      </x:c>
      <x:c r="O859" s="33" t="str">
        <x:v>data.gouv.fr_aife</x:v>
      </x:c>
      <x:c r="P859" s="33" t="str">
        <x:v>2018130013910700</x:v>
      </x:c>
    </x:row>
    <x:row r="860">
      <x:c r="A860" s="33" t="str">
        <x:v>2018100013233100</x:v>
      </x:c>
      <x:c r="B860" s="33" t="str">
        <x:v>MINARM / SSF / DSSF Toulon - Direction du service de soutien de la flotte de Toulon - DSSF Toulon</x:v>
      </x:c>
      <x:c r="C860" s="33" t="str">
        <x:v>LOGNAV-CM</x:v>
      </x:c>
      <x:c r="D860" s="33" t="str">
        <x:v>Accord cadre N° 2016 M 16 T 20 010 relatif à l’approvisionnement de matériels électriques et électroniques pour le maintien en condition opérationnelle (MCO) des Eléments de Force Maritime (EFM) et des Eléments de Force Armées (EFA). - Marché su</x:v>
      </x:c>
      <x:c r="E860" s="33" t="str">
        <x:v>Pièces électroniques et électriques de rechange pour navires de guerre.</x:v>
      </x:c>
      <x:c r="F860" s="36" t="n">
        <x:v>21953</x:v>
      </x:c>
      <x:c r="G860" s="38" t="n">
        <x:v>43438</x:v>
      </x:c>
      <x:c r="H860" s="38" t="n">
        <x:v>43438</x:v>
      </x:c>
      <x:c r="I860" s="40" t="n">
        <x:v>5</x:v>
      </x:c>
      <x:c r="J860" s="33" t="str">
        <x:v>Marché subséquent</x:v>
      </x:c>
      <x:c r="K860" s="33" t="str">
        <x:v>Appel d'offres ouvert</x:v>
      </x:c>
      <x:c r="L860" s="33" t="str">
        <x:v>Ferme et actualisable</x:v>
      </x:c>
      <x:c r="M860" s="33" t="str">
        <x:v>(83) Var</x:v>
      </x:c>
      <x:c r="N860" s="33" t="str">
        <x:v>Oui</x:v>
      </x:c>
      <x:c r="O860" s="33" t="str">
        <x:v>data.gouv.fr_aife</x:v>
      </x:c>
      <x:c r="P860" s="33" t="str">
        <x:v>2018100013233100</x:v>
      </x:c>
    </x:row>
    <x:row r="861">
      <x:c r="A861" s="33" t="str">
        <x:v>20182018F0027100</x:v>
      </x:c>
      <x:c r="B861" s="33" t="str">
        <x:v>MINARM / SSF / DSSF Toulon - Direction du service de soutien de la flotte de Toulon - DSSF Toulon</x:v>
      </x:c>
      <x:c r="C861" s="33" t="str">
        <x:v>DRAGER FRANCE</x:v>
      </x:c>
      <x:c r="D861" s="33" t="str">
        <x:v>M18T20007 accord cadre relatif à la fourniture de matériels mobiles de détection, de secours et de sécurité individuelle et collective, au profit des éléments de la force maritime (EFM) et des éléments des forces armées</x:v>
      </x:c>
      <x:c r="E861" s="33" t="str">
        <x:v>Pièces pour navires de guerre.</x:v>
      </x:c>
      <x:c r="F861" s="36" t="n">
        <x:v>8333000</x:v>
      </x:c>
      <x:c r="G861" s="38" t="n">
        <x:v>43438</x:v>
      </x:c>
      <x:c r="H861" s="38" t="n">
        <x:v>43438</x:v>
      </x:c>
      <x:c r="I861" s="40" t="n">
        <x:v>60</x:v>
      </x:c>
      <x:c r="J861" s="33" t="str">
        <x:v>Accord-cadre</x:v>
      </x:c>
      <x:c r="K861" s="33" t="str">
        <x:v>Appel d'offres restreint</x:v>
      </x:c>
      <x:c r="L861" s="33" t="str"/>
      <x:c r="M861" s="33" t="str">
        <x:v>(83) Var</x:v>
      </x:c>
      <x:c r="N861" s="33" t="str">
        <x:v>Oui</x:v>
      </x:c>
      <x:c r="O861" s="33" t="str">
        <x:v>data.gouv.fr_aife</x:v>
      </x:c>
      <x:c r="P861" s="33" t="str">
        <x:v>20182018F0027100</x:v>
      </x:c>
    </x:row>
    <x:row r="862">
      <x:c r="A862" s="33" t="str">
        <x:v>20182018F0027200</x:v>
      </x:c>
      <x:c r="B862" s="33" t="str">
        <x:v>MINARM / SSF / DSSF Toulon - Direction du service de soutien de la flotte de Toulon - DSSF Toulon</x:v>
      </x:c>
      <x:c r="C862" s="33" t="str">
        <x:v>LOGNAV-CM</x:v>
      </x:c>
      <x:c r="D862" s="33" t="str">
        <x:v>M18T20007 accord cadre relatif à la fourniture de matériels mobiles de détection, de secours et de sécurité individuelle et collective, au profit des éléments de la force maritime (EFM) et des éléments des forces armées</x:v>
      </x:c>
      <x:c r="E862" s="33" t="str">
        <x:v>Pièces pour navires de guerre.</x:v>
      </x:c>
      <x:c r="F862" s="36" t="n">
        <x:v>8333000</x:v>
      </x:c>
      <x:c r="G862" s="38" t="n">
        <x:v>43438</x:v>
      </x:c>
      <x:c r="H862" s="38" t="n">
        <x:v>43438</x:v>
      </x:c>
      <x:c r="I862" s="40" t="n">
        <x:v>60</x:v>
      </x:c>
      <x:c r="J862" s="33" t="str">
        <x:v>Accord-cadre</x:v>
      </x:c>
      <x:c r="K862" s="33" t="str">
        <x:v>Appel d'offres restreint</x:v>
      </x:c>
      <x:c r="L862" s="33" t="str"/>
      <x:c r="M862" s="33" t="str">
        <x:v>(83) Var</x:v>
      </x:c>
      <x:c r="N862" s="33" t="str">
        <x:v>Oui</x:v>
      </x:c>
      <x:c r="O862" s="33" t="str">
        <x:v>data.gouv.fr_aife</x:v>
      </x:c>
      <x:c r="P862" s="33" t="str">
        <x:v>20182018F0027200</x:v>
      </x:c>
    </x:row>
    <x:row r="863">
      <x:c r="A863" s="33" t="str">
        <x:v>20182018F0027500</x:v>
      </x:c>
      <x:c r="B863" s="33" t="str">
        <x:v>MINARM / SSF / DSSF Toulon - Direction du service de soutien de la flotte de Toulon - DSSF Toulon</x:v>
      </x:c>
      <x:c r="C863" s="33" t="str">
        <x:v>LE LITTORAL</x:v>
      </x:c>
      <x:c r="D863" s="33" t="str">
        <x:v>M18T20007 accord cadre relatif à la fourniture de matériels mobiles de détection, de secours et de sécurité individuelle et collective, au profit des éléments de la force maritime (EFM) et des éléments des forces armées</x:v>
      </x:c>
      <x:c r="E863" s="33" t="str">
        <x:v>Pièces pour navires de guerre.</x:v>
      </x:c>
      <x:c r="F863" s="36" t="n">
        <x:v>8333000</x:v>
      </x:c>
      <x:c r="G863" s="38" t="n">
        <x:v>43438</x:v>
      </x:c>
      <x:c r="H863" s="38" t="n">
        <x:v>43438</x:v>
      </x:c>
      <x:c r="I863" s="40" t="n">
        <x:v>60</x:v>
      </x:c>
      <x:c r="J863" s="33" t="str">
        <x:v>Accord-cadre</x:v>
      </x:c>
      <x:c r="K863" s="33" t="str">
        <x:v>Appel d'offres restreint</x:v>
      </x:c>
      <x:c r="L863" s="33" t="str"/>
      <x:c r="M863" s="33" t="str">
        <x:v>(83) Var</x:v>
      </x:c>
      <x:c r="N863" s="33" t="str">
        <x:v>Oui</x:v>
      </x:c>
      <x:c r="O863" s="33" t="str">
        <x:v>data.gouv.fr_aife</x:v>
      </x:c>
      <x:c r="P863" s="33" t="str">
        <x:v>20182018F0027500</x:v>
      </x:c>
    </x:row>
    <x:row r="864">
      <x:c r="A864" s="33" t="str">
        <x:v>20182018F0027700</x:v>
      </x:c>
      <x:c r="B864" s="33" t="str">
        <x:v>MINARM / SSF / DSSF Toulon - Direction du service de soutien de la flotte de Toulon - DSSF Toulon</x:v>
      </x:c>
      <x:c r="C864" s="33" t="str">
        <x:v>AART ELECTRONICS</x:v>
      </x:c>
      <x:c r="D864" s="33" t="str">
        <x:v>M18T20007 accord cadre relatif à la fourniture de matériels mobiles de détection, de secours et de sécurité individuelle et collective, au profit des éléments de la force maritime (EFM) et des éléments des forces armées</x:v>
      </x:c>
      <x:c r="E864" s="33" t="str">
        <x:v>Pièces pour navires de guerre.</x:v>
      </x:c>
      <x:c r="F864" s="36" t="n">
        <x:v>8333000</x:v>
      </x:c>
      <x:c r="G864" s="38" t="n">
        <x:v>43438</x:v>
      </x:c>
      <x:c r="H864" s="38" t="n">
        <x:v>43438</x:v>
      </x:c>
      <x:c r="I864" s="40" t="n">
        <x:v>60</x:v>
      </x:c>
      <x:c r="J864" s="33" t="str">
        <x:v>Accord-cadre</x:v>
      </x:c>
      <x:c r="K864" s="33" t="str">
        <x:v>Appel d'offres restreint</x:v>
      </x:c>
      <x:c r="L864" s="33" t="str"/>
      <x:c r="M864" s="33" t="str">
        <x:v>(83) Var</x:v>
      </x:c>
      <x:c r="N864" s="33" t="str">
        <x:v>Oui</x:v>
      </x:c>
      <x:c r="O864" s="33" t="str">
        <x:v>data.gouv.fr_aife</x:v>
      </x:c>
      <x:c r="P864" s="33" t="str">
        <x:v>20182018F0027700</x:v>
      </x:c>
    </x:row>
    <x:row r="865">
      <x:c r="A865" s="33" t="str">
        <x:v>2018130013924700</x:v>
      </x:c>
      <x:c r="B865" s="33" t="str">
        <x:v>MINARM / SCA / PFC Ouest - Plate-forme commissariat Ouest (Rennes)</x:v>
      </x:c>
      <x:c r="C865" s="33" t="str">
        <x:v>PRAXY</x:v>
      </x:c>
      <x:c r="D865" s="33" t="str">
        <x:v>Mise à disposition de contenants, collecte, enlèvement et traitement des déchets sur les différents sites du Groupement de Soutien de la Base de Défense d'Angers Le Mans Saumur - mise à disposition de contenants, collecte, enlèvement et traitement</x:v>
      </x:c>
      <x:c r="E865" s="33" t="str">
        <x:v>Elimination et traitement des ordures.</x:v>
      </x:c>
      <x:c r="F865" s="36" t="n">
        <x:v>1265</x:v>
      </x:c>
      <x:c r="G865" s="38" t="n">
        <x:v>43438</x:v>
      </x:c>
      <x:c r="H865" s="38" t="n">
        <x:v>43438</x:v>
      </x:c>
      <x:c r="I865" s="40" t="n">
        <x:v>48</x:v>
      </x:c>
      <x:c r="J865" s="33" t="str">
        <x:v>Accord-cadre</x:v>
      </x:c>
      <x:c r="K865" s="33" t="str">
        <x:v>Appel d'offres ouvert</x:v>
      </x:c>
      <x:c r="L865" s="33" t="str">
        <x:v>Révisable</x:v>
      </x:c>
      <x:c r="M865" s="33" t="str">
        <x:v>(49) Maine-et-Loire</x:v>
      </x:c>
      <x:c r="N865" s="33" t="str">
        <x:v>Oui</x:v>
      </x:c>
      <x:c r="O865" s="33" t="str">
        <x:v>data.gouv.fr_aife</x:v>
      </x:c>
      <x:c r="P865" s="33" t="str">
        <x:v>2018130013924700</x:v>
      </x:c>
    </x:row>
    <x:row r="866">
      <x:c r="A866" s="33" t="str">
        <x:v>2018130013924800</x:v>
      </x:c>
      <x:c r="B866" s="33" t="str">
        <x:v>MINARM / SCA / PFC Ouest - Plate-forme commissariat Ouest (Rennes)</x:v>
      </x:c>
      <x:c r="C866" s="33" t="str">
        <x:v>SUEZ RV OUEST</x:v>
      </x:c>
      <x:c r="D866" s="33" t="str">
        <x:v>Mise à disposition de contenants, collecte, enlèvement et traitement des déchets sur les différents sites du Groupement de Soutien de la Base de Défense d'Angers Le Mans Saumur - mise à disposition de contenants, collecte et traitements de bio-déch</x:v>
      </x:c>
      <x:c r="E866" s="33" t="str">
        <x:v>Elimination et traitement des ordures.</x:v>
      </x:c>
      <x:c r="F866" s="36" t="n">
        <x:v>4187</x:v>
      </x:c>
      <x:c r="G866" s="38" t="n">
        <x:v>43438</x:v>
      </x:c>
      <x:c r="H866" s="38" t="n">
        <x:v>43438</x:v>
      </x:c>
      <x:c r="I866" s="40" t="n">
        <x:v>48</x:v>
      </x:c>
      <x:c r="J866" s="33" t="str">
        <x:v>Accord-cadre</x:v>
      </x:c>
      <x:c r="K866" s="33" t="str">
        <x:v>Appel d'offres ouvert</x:v>
      </x:c>
      <x:c r="L866" s="33" t="str">
        <x:v>Révisable</x:v>
      </x:c>
      <x:c r="M866" s="33" t="str">
        <x:v>(49) Maine-et-Loire</x:v>
      </x:c>
      <x:c r="N866" s="33" t="str">
        <x:v>Oui</x:v>
      </x:c>
      <x:c r="O866" s="33" t="str">
        <x:v>data.gouv.fr_aife</x:v>
      </x:c>
      <x:c r="P866" s="33" t="str">
        <x:v>2018130013924800</x:v>
      </x:c>
    </x:row>
    <x:row r="867">
      <x:c r="A867" s="33" t="str">
        <x:v>2018130013925600</x:v>
      </x:c>
      <x:c r="B867" s="33" t="str">
        <x:v>MINARM / SCA / PFC Ouest - Plate-forme commissariat Ouest (Rennes)</x:v>
      </x:c>
      <x:c r="C867" s="33" t="str">
        <x:v>MAINE COLLECTE VALORISATION</x:v>
      </x:c>
      <x:c r="D867" s="33" t="str">
        <x:v>Mise à disposition de contenants, collecte, enlèvement et traitement des déchets sur les différents sites du Groupement de Soutien de la Base de Défense d'Angers Le Mans Saumur - mise à disposition de contenants, collecte, enlèvement et traitement</x:v>
      </x:c>
      <x:c r="E867" s="33" t="str">
        <x:v>Elimination et traitement des ordures.</x:v>
      </x:c>
      <x:c r="F867" s="36" t="n">
        <x:v>31134</x:v>
      </x:c>
      <x:c r="G867" s="38" t="n">
        <x:v>43438</x:v>
      </x:c>
      <x:c r="H867" s="38" t="n">
        <x:v>43438</x:v>
      </x:c>
      <x:c r="I867" s="40" t="n">
        <x:v>48</x:v>
      </x:c>
      <x:c r="J867" s="33" t="str">
        <x:v>Accord-cadre</x:v>
      </x:c>
      <x:c r="K867" s="33" t="str">
        <x:v>Appel d'offres ouvert</x:v>
      </x:c>
      <x:c r="L867" s="33" t="str">
        <x:v>Révisable</x:v>
      </x:c>
      <x:c r="M867" s="33" t="str">
        <x:v>(49) Maine-et-Loire</x:v>
      </x:c>
      <x:c r="N867" s="33" t="str">
        <x:v>Oui</x:v>
      </x:c>
      <x:c r="O867" s="33" t="str">
        <x:v>data.gouv.fr_aife</x:v>
      </x:c>
      <x:c r="P867" s="33" t="str">
        <x:v>2018130013925600</x:v>
      </x:c>
    </x:row>
    <x:row r="868">
      <x:c r="A868" s="33" t="str">
        <x:v>2018100013247900</x:v>
      </x:c>
      <x:c r="B868" s="33" t="str">
        <x:v>MINARM / SSF / DSSF Toulon - Direction du service de soutien de la flotte de Toulon - DSSF Toulon</x:v>
      </x:c>
      <x:c r="C868" s="33" t="str">
        <x:v>LOGNAV-CM</x:v>
      </x:c>
      <x:c r="D868" s="33" t="str">
        <x:v>Accord cadre N° 2016 M 16 T 20 010 relatif à l’approvisionnement de matériels électriques et électroniques pour le maintien en condition opérationnelle (MCO) des Eléments de Force Maritime (EFM) et des Eléments de Force Armées (EFA). - Marché su</x:v>
      </x:c>
      <x:c r="E868" s="33" t="str">
        <x:v>Pièces électroniques et électriques de rechange pour navires de guerre.</x:v>
      </x:c>
      <x:c r="F868" s="36" t="n">
        <x:v>15732</x:v>
      </x:c>
      <x:c r="G868" s="38" t="n">
        <x:v>43438</x:v>
      </x:c>
      <x:c r="H868" s="38" t="n">
        <x:v>43438</x:v>
      </x:c>
      <x:c r="I868" s="40" t="n">
        <x:v>12</x:v>
      </x:c>
      <x:c r="J868" s="33" t="str">
        <x:v>Marché subséquent</x:v>
      </x:c>
      <x:c r="K868" s="33" t="str">
        <x:v>Appel d'offres ouvert</x:v>
      </x:c>
      <x:c r="L868" s="33" t="str">
        <x:v>Ferme et actualisable</x:v>
      </x:c>
      <x:c r="M868" s="33" t="str">
        <x:v>(83) Var</x:v>
      </x:c>
      <x:c r="N868" s="33" t="str">
        <x:v>Oui</x:v>
      </x:c>
      <x:c r="O868" s="33" t="str">
        <x:v>data.gouv.fr_aife</x:v>
      </x:c>
      <x:c r="P868" s="33" t="str">
        <x:v>2018100013247900</x:v>
      </x:c>
    </x:row>
    <x:row r="869">
      <x:c r="A869" s="33" t="str">
        <x:v>2018100013255200</x:v>
      </x:c>
      <x:c r="B869" s="33" t="str">
        <x:v>MINARM / SSF / DSSF Toulon - Direction du service de soutien de la flotte de Toulon - DSSF Toulon</x:v>
      </x:c>
      <x:c r="C869" s="33" t="str">
        <x:v>LOGNAV-CM</x:v>
      </x:c>
      <x:c r="D869" s="33" t="str">
        <x:v>Accord cadre M16T20 014 relatif à l’approvisionnement de matériels courants de pompes et compresseurs, surpresseurs et accessoires associés pour les besoins nécessaires au maintien en condition opérationnelle (MCO) des Eléments de Force Maritime (</x:v>
      </x:c>
      <x:c r="E869" s="33" t="str">
        <x:v>Pièces pour navires de guerre.</x:v>
      </x:c>
      <x:c r="F869" s="36" t="n">
        <x:v>2687</x:v>
      </x:c>
      <x:c r="G869" s="38" t="n">
        <x:v>43438</x:v>
      </x:c>
      <x:c r="H869" s="38" t="n">
        <x:v>43438</x:v>
      </x:c>
      <x:c r="I869" s="40" t="n">
        <x:v>7</x:v>
      </x:c>
      <x:c r="J869" s="33" t="str">
        <x:v>Marché subséquent</x:v>
      </x:c>
      <x:c r="K869" s="33" t="str">
        <x:v>Appel d'offres ouvert</x:v>
      </x:c>
      <x:c r="L869" s="33" t="str">
        <x:v>Ferme et actualisable</x:v>
      </x:c>
      <x:c r="M869" s="33" t="str">
        <x:v>(83) Var</x:v>
      </x:c>
      <x:c r="N869" s="33" t="str">
        <x:v>Oui</x:v>
      </x:c>
      <x:c r="O869" s="33" t="str">
        <x:v>data.gouv.fr_aife</x:v>
      </x:c>
      <x:c r="P869" s="33" t="str">
        <x:v>2018100013255200</x:v>
      </x:c>
    </x:row>
    <x:row r="870">
      <x:c r="A870" s="33" t="str">
        <x:v>2018100013257100</x:v>
      </x:c>
      <x:c r="B870" s="33" t="str">
        <x:v>MINARM / SSF / DSSF Toulon - Direction du service de soutien de la flotte de Toulon - DSSF Toulon</x:v>
      </x:c>
      <x:c r="C870" s="33" t="str">
        <x:v>LE LITTORAL</x:v>
      </x:c>
      <x:c r="D870" s="33" t="str">
        <x:v>Accord cadre N° 2016M16T20015 relatif à l’approvisionnement de fourniture de matériels de mesure et de contrôle nécessaires au maintien en condition opérationnelle (MCO) des Eléments de Force Maritime (EFM) et des Eléments de Force Armées (EFA)</x:v>
      </x:c>
      <x:c r="E870" s="33" t="str">
        <x:v>Pièces pour navires de guerre.</x:v>
      </x:c>
      <x:c r="F870" s="36" t="n">
        <x:v>13253</x:v>
      </x:c>
      <x:c r="G870" s="38" t="n">
        <x:v>43438</x:v>
      </x:c>
      <x:c r="H870" s="38" t="n">
        <x:v>43438</x:v>
      </x:c>
      <x:c r="I870" s="40" t="n">
        <x:v>7</x:v>
      </x:c>
      <x:c r="J870" s="33" t="str">
        <x:v>Marché subséquent</x:v>
      </x:c>
      <x:c r="K870" s="33" t="str">
        <x:v>Appel d'offres ouvert</x:v>
      </x:c>
      <x:c r="L870" s="33" t="str">
        <x:v>Ferme et actualisable</x:v>
      </x:c>
      <x:c r="M870" s="33" t="str">
        <x:v>(83) Var</x:v>
      </x:c>
      <x:c r="N870" s="33" t="str">
        <x:v>Oui</x:v>
      </x:c>
      <x:c r="O870" s="33" t="str">
        <x:v>data.gouv.fr_aife</x:v>
      </x:c>
      <x:c r="P870" s="33" t="str">
        <x:v>2018100013257100</x:v>
      </x:c>
    </x:row>
    <x:row r="871">
      <x:c r="A871" s="33" t="str">
        <x:v>20182018F8002800</x:v>
      </x:c>
      <x:c r="B871" s="33" t="str">
        <x:v>MINARM / DIRISI - Direction Interarmées des Réseaux d'Infrastructure et des Systèmes d'Information de la défense</x:v>
      </x:c>
      <x:c r="C871" s="33" t="str">
        <x:v>AIRBUS DEFENCE AND SPACE SAS</x:v>
      </x:c>
      <x:c r="D871" s="33" t="str">
        <x:v>Acquisition de balises de géolocalisation, tracking via satellite et GSM et ses prestations associées.</x:v>
      </x:c>
      <x:c r="E871" s="33" t="str">
        <x:v>Matériel de télécommunications.</x:v>
      </x:c>
      <x:c r="F871" s="36" t="n">
        <x:v>1500000</x:v>
      </x:c>
      <x:c r="G871" s="38" t="n">
        <x:v>43438</x:v>
      </x:c>
      <x:c r="H871" s="38" t="n">
        <x:v>43438</x:v>
      </x:c>
      <x:c r="I871" s="40" t="n">
        <x:v>48</x:v>
      </x:c>
      <x:c r="J871" s="33" t="str">
        <x:v>Accord-cadre</x:v>
      </x:c>
      <x:c r="K871" s="33" t="str"/>
      <x:c r="L871" s="33" t="str">
        <x:v>Révisable</x:v>
      </x:c>
      <x:c r="M871" s="33" t="str">
        <x:v>(45) Loiret</x:v>
      </x:c>
      <x:c r="N871" s="33" t="str">
        <x:v>Oui</x:v>
      </x:c>
      <x:c r="O871" s="33" t="str">
        <x:v>data.gouv.fr_aife</x:v>
      </x:c>
      <x:c r="P871" s="33" t="str">
        <x:v>20182018F8002800</x:v>
      </x:c>
    </x:row>
    <x:row r="872">
      <x:c r="A872" s="33" t="str">
        <x:v>2018130013861000</x:v>
      </x:c>
      <x:c r="B872" s="33" t="str">
        <x:v>MINARM / SSA / DAPSA - Direction des Approvisionnements en produits de santé des armées</x:v>
      </x:c>
      <x:c r="C872" s="33" t="str">
        <x:v>STERIGENE</x:v>
      </x:c>
      <x:c r="D872" s="33" t="str">
        <x:v>le projet de marché porte sur des prestations de maintenance et de travaux sur le parc de machines STERIGENE.</x:v>
      </x:c>
      <x:c r="E872" s="33" t="str">
        <x:v>Services de réparation et d'entretien de machines.</x:v>
      </x:c>
      <x:c r="F872" s="36" t="n">
        <x:v>290000</x:v>
      </x:c>
      <x:c r="G872" s="38" t="n">
        <x:v>43438</x:v>
      </x:c>
      <x:c r="H872" s="38" t="n">
        <x:v>43438</x:v>
      </x:c>
      <x:c r="I872" s="40" t="n">
        <x:v>48</x:v>
      </x:c>
      <x:c r="J872" s="33" t="str">
        <x:v>Accord-cadre</x:v>
      </x:c>
      <x:c r="K872" s="33" t="str"/>
      <x:c r="L872" s="33" t="str">
        <x:v>Révisable</x:v>
      </x:c>
      <x:c r="M872" s="33" t="str">
        <x:v>(45) Loiret</x:v>
      </x:c>
      <x:c r="N872" s="33" t="str">
        <x:v>Oui</x:v>
      </x:c>
      <x:c r="O872" s="33" t="str">
        <x:v>data.gouv.fr_aife</x:v>
      </x:c>
      <x:c r="P872" s="33" t="str">
        <x:v>2018130013861000</x:v>
      </x:c>
    </x:row>
    <x:row r="873">
      <x:c r="A873" s="33" t="str">
        <x:v>20182018S6549000</x:v>
      </x:c>
      <x:c r="B873" s="33" t="str">
        <x:v>MINARM / SGA / SID / DID Cayenne - Direction d'infrastructure de la défense de Cayenne - DID Cayenne</x:v>
      </x:c>
      <x:c r="C873" s="33" t="str">
        <x:v>SARL BILLON</x:v>
      </x:c>
      <x:c r="D873" s="33" t="str">
        <x:v>Le présent accord-cadre a pour objectif : -d’assurer la maintenance préventive et corrective des groupes électrogènes de secours des forces armées en Guyane ; -de permettre grâce aux prestations de maintenance la pérennisation des équipements</x:v>
      </x:c>
      <x:c r="E873" s="33" t="str">
        <x:v>Services de réparation et d'entretien de générateurs.</x:v>
      </x:c>
      <x:c r="F873" s="36" t="n">
        <x:v>11205</x:v>
      </x:c>
      <x:c r="G873" s="38" t="n">
        <x:v>43438</x:v>
      </x:c>
      <x:c r="H873" s="38" t="n">
        <x:v>43438</x:v>
      </x:c>
      <x:c r="I873" s="40" t="n">
        <x:v>48</x:v>
      </x:c>
      <x:c r="J873" s="33" t="str">
        <x:v>Accord-cadre</x:v>
      </x:c>
      <x:c r="K873" s="33" t="str">
        <x:v>Appel d'offres ouvert</x:v>
      </x:c>
      <x:c r="L873" s="33" t="str">
        <x:v>Révisable</x:v>
      </x:c>
      <x:c r="M873" s="33" t="str">
        <x:v>(973) Guyane</x:v>
      </x:c>
      <x:c r="N873" s="33" t="str">
        <x:v>Oui</x:v>
      </x:c>
      <x:c r="O873" s="33" t="str">
        <x:v>data.gouv.fr_aife</x:v>
      </x:c>
      <x:c r="P873" s="33" t="str">
        <x:v>20182018S6549000</x:v>
      </x:c>
    </x:row>
    <x:row r="874">
      <x:c r="A874" s="33" t="str">
        <x:v>2018170009051300</x:v>
      </x:c>
      <x:c r="B874" s="33" t="str">
        <x:v>MINARM / SGA / SID / ESID BREST - Etablissement du service d'infrastructure de la défense de BREST - ESID Brest</x:v>
      </x:c>
      <x:c r="C874" s="33" t="str">
        <x:v>ATLANTIC MARINE</x:v>
      </x:c>
      <x:c r="D874" s="33" t="str">
        <x:v>Fabrication, livraison et installation de passerelles, coupées et escabeaux pour l'accès aux navires situés dans le périmètre de la BDD BSL (Base de Défense Brest-Lorient)</x:v>
      </x:c>
      <x:c r="E874" s="33" t="str">
        <x:v>Passerelles d'accès.</x:v>
      </x:c>
      <x:c r="F874" s="36" t="n">
        <x:v>900000</x:v>
      </x:c>
      <x:c r="G874" s="38" t="n">
        <x:v>43438</x:v>
      </x:c>
      <x:c r="H874" s="38" t="n">
        <x:v>43438</x:v>
      </x:c>
      <x:c r="I874" s="40" t="n">
        <x:v>48</x:v>
      </x:c>
      <x:c r="J874" s="33" t="str">
        <x:v>Accord-cadre</x:v>
      </x:c>
      <x:c r="K874" s="33" t="str">
        <x:v>Procédure adaptée</x:v>
      </x:c>
      <x:c r="L874" s="33" t="str">
        <x:v>Révisable</x:v>
      </x:c>
      <x:c r="M874" s="33" t="str">
        <x:v>(29) Finistère</x:v>
      </x:c>
      <x:c r="N874" s="33" t="str">
        <x:v>Oui</x:v>
      </x:c>
      <x:c r="O874" s="33" t="str">
        <x:v>data.gouv.fr_aife</x:v>
      </x:c>
      <x:c r="P874" s="33" t="str">
        <x:v>2018170009051300</x:v>
      </x:c>
    </x:row>
    <x:row r="875">
      <x:c r="A875" s="33" t="str">
        <x:v>2018100013219000</x:v>
      </x:c>
      <x:c r="B875" s="33" t="str">
        <x:v>MINARM / SGA / SID / ESID Metz - Etablissement du service d'infrastructure de la défense de Metz - ESID Metz</x:v>
      </x:c>
      <x:c r="C875" s="33" t="str">
        <x:v>SAGI</x:v>
      </x:c>
      <x:c r="D875" s="33" t="str">
        <x:v>Projet n° 18-USID05-015 - Fourniture et livraison de granulats synthétiques au profit de l’unité de soutien de l’infrastructure de la défense de Besançon pour l’entretien des buttes de tir -</x:v>
      </x:c>
      <x:c r="E875" s="33" t="str">
        <x:v>Autres matériaux de construction divers.</x:v>
      </x:c>
      <x:c r="F875" s="36" t="n">
        <x:v>11040</x:v>
      </x:c>
      <x:c r="G875" s="38" t="n">
        <x:v>43438</x:v>
      </x:c>
      <x:c r="H875" s="38" t="n">
        <x:v>43438</x:v>
      </x:c>
      <x:c r="I875" s="40" t="n">
        <x:v>1</x:v>
      </x:c>
      <x:c r="J875" s="33" t="str">
        <x:v>Marché subséquent</x:v>
      </x:c>
      <x:c r="K875" s="33" t="str">
        <x:v>Appel d'offres ouvert</x:v>
      </x:c>
      <x:c r="L875" s="33" t="str">
        <x:v>Ferme</x:v>
      </x:c>
      <x:c r="M875" s="33" t="str">
        <x:v>(25) Doubs</x:v>
      </x:c>
      <x:c r="N875" s="33" t="str">
        <x:v>Oui</x:v>
      </x:c>
      <x:c r="O875" s="33" t="str">
        <x:v>data.gouv.fr_aife</x:v>
      </x:c>
      <x:c r="P875" s="33" t="str">
        <x:v>2018100013219000</x:v>
      </x:c>
    </x:row>
    <x:row r="876">
      <x:c r="A876" s="33" t="str">
        <x:v>2018120005918100</x:v>
      </x:c>
      <x:c r="B876" s="33" t="str">
        <x:v>MINARM / SCA / PFC Sud - Plate-forme commissariat Sud (Toulon)</x:v>
      </x:c>
      <x:c r="C876" s="33" t="str">
        <x:v>TAMARIS SECURITE PRIVEE</x:v>
      </x:c>
      <x:c r="D876" s="33" t="str">
        <x:v>MS SOCLE LOT 1 - Prestations au profit des armées, directions et services relevant de la base de défense (BdD) de Toulon : -SP 1 : Base navale de Toulon et installations sportives « Amiral Jauréguiberry » à Toulon ; - -SP 2 : Pyrotechnies de Toulon et d</x:v>
      </x:c>
      <x:c r="E876" s="33" t="str">
        <x:v>Services de gardiennage.</x:v>
      </x:c>
      <x:c r="F876" s="36" t="n">
        <x:v>13322652</x:v>
      </x:c>
      <x:c r="G876" s="38" t="n">
        <x:v>43438</x:v>
      </x:c>
      <x:c r="H876" s="38" t="n">
        <x:v>43438</x:v>
      </x:c>
      <x:c r="I876" s="40" t="n">
        <x:v>36</x:v>
      </x:c>
      <x:c r="J876" s="33" t="str">
        <x:v>Marché subséquent</x:v>
      </x:c>
      <x:c r="K876" s="33" t="str">
        <x:v>Appel d'offres ouvert</x:v>
      </x:c>
      <x:c r="L876" s="33" t="str">
        <x:v>Révisable</x:v>
      </x:c>
      <x:c r="M876" s="33" t="str">
        <x:v>(83) Var</x:v>
      </x:c>
      <x:c r="N876" s="33" t="str">
        <x:v>Oui</x:v>
      </x:c>
      <x:c r="O876" s="33" t="str">
        <x:v>data.gouv.fr_aife</x:v>
      </x:c>
      <x:c r="P876" s="33" t="str">
        <x:v>2018120005918100</x:v>
      </x:c>
    </x:row>
    <x:row r="877">
      <x:c r="A877" s="33" t="str">
        <x:v>2018130013929300</x:v>
      </x:c>
      <x:c r="B877" s="33" t="str">
        <x:v>MINARM / SCA / PFC Ouest - Plate-forme commissariat Ouest (Rennes)</x:v>
      </x:c>
      <x:c r="C877" s="33" t="str">
        <x:v>PRAXY</x:v>
      </x:c>
      <x:c r="D877" s="33" t="str">
        <x:v>Mise à disposition de contenants, collecte, enlèvement et traitement des déchets sur les différents sites du Groupement de Soutien de la Base de Défense d'Angers Le Mans Saumur - mise à disposition de contenants, collecte, enlèvement et traitement</x:v>
      </x:c>
      <x:c r="E877" s="33" t="str">
        <x:v>Elimination et traitement des ordures.</x:v>
      </x:c>
      <x:c r="F877" s="36" t="n">
        <x:v>17359</x:v>
      </x:c>
      <x:c r="G877" s="38" t="n">
        <x:v>43438</x:v>
      </x:c>
      <x:c r="H877" s="38" t="n">
        <x:v>43438</x:v>
      </x:c>
      <x:c r="I877" s="40" t="n">
        <x:v>48</x:v>
      </x:c>
      <x:c r="J877" s="33" t="str">
        <x:v>Accord-cadre</x:v>
      </x:c>
      <x:c r="K877" s="33" t="str">
        <x:v>Appel d'offres ouvert</x:v>
      </x:c>
      <x:c r="L877" s="33" t="str">
        <x:v>Révisable</x:v>
      </x:c>
      <x:c r="M877" s="33" t="str">
        <x:v>(49) Maine-et-Loire</x:v>
      </x:c>
      <x:c r="N877" s="33" t="str">
        <x:v>Oui</x:v>
      </x:c>
      <x:c r="O877" s="33" t="str">
        <x:v>data.gouv.fr_aife</x:v>
      </x:c>
      <x:c r="P877" s="33" t="str">
        <x:v>2018130013929300</x:v>
      </x:c>
    </x:row>
    <x:row r="878">
      <x:c r="A878" s="33" t="str">
        <x:v>2018130013933500</x:v>
      </x:c>
      <x:c r="B878" s="33" t="str">
        <x:v>MINARM / SCA / PFC Ouest - Plate-forme commissariat Ouest (Rennes)</x:v>
      </x:c>
      <x:c r="C878" s="33" t="str">
        <x:v>SUEZ RV OUEST</x:v>
      </x:c>
      <x:c r="D878" s="33" t="str">
        <x:v>Mise à disposition de contenants, collecte, enlèvement et traitement des déchets sur les différents sites du Groupement de Soutien de la Base de Défense d'Angers Le Mans Saumur - mise à disposition de contenants, collecte et traitements de bio-déch</x:v>
      </x:c>
      <x:c r="E878" s="33" t="str">
        <x:v>Elimination et traitement des ordures.</x:v>
      </x:c>
      <x:c r="F878" s="36" t="n">
        <x:v>7952</x:v>
      </x:c>
      <x:c r="G878" s="38" t="n">
        <x:v>43438</x:v>
      </x:c>
      <x:c r="H878" s="38" t="n">
        <x:v>43438</x:v>
      </x:c>
      <x:c r="I878" s="40" t="n">
        <x:v>48</x:v>
      </x:c>
      <x:c r="J878" s="33" t="str">
        <x:v>Accord-cadre</x:v>
      </x:c>
      <x:c r="K878" s="33" t="str">
        <x:v>Appel d'offres ouvert</x:v>
      </x:c>
      <x:c r="L878" s="33" t="str">
        <x:v>Révisable</x:v>
      </x:c>
      <x:c r="M878" s="33" t="str">
        <x:v>(49) Maine-et-Loire</x:v>
      </x:c>
      <x:c r="N878" s="33" t="str">
        <x:v>Oui</x:v>
      </x:c>
      <x:c r="O878" s="33" t="str">
        <x:v>data.gouv.fr_aife</x:v>
      </x:c>
      <x:c r="P878" s="33" t="str">
        <x:v>2018130013933500</x:v>
      </x:c>
    </x:row>
    <x:row r="879">
      <x:c r="A879" s="33" t="str">
        <x:v>2018130013933600</x:v>
      </x:c>
      <x:c r="B879" s="33" t="str">
        <x:v>MINARM / SCA / PFC Ouest - Plate-forme commissariat Ouest (Rennes)</x:v>
      </x:c>
      <x:c r="C879" s="33" t="str"/>
      <x:c r="D879" s="33" t="str">
        <x:v>Mise à disposition de contenants, collecte, enlèvement et traitement des déchets sur les différents sites du Groupement de Soutien de la Base de Défense d'Angers Le Mans Saumur - mise à disposition de contenants, collecte et traitements de bio-déch</x:v>
      </x:c>
      <x:c r="E879" s="33" t="str">
        <x:v>Elimination et traitement des ordures.</x:v>
      </x:c>
      <x:c r="F879" s="36" t="n">
        <x:v>8488</x:v>
      </x:c>
      <x:c r="G879" s="38" t="n">
        <x:v>43438</x:v>
      </x:c>
      <x:c r="H879" s="38" t="n">
        <x:v>43438</x:v>
      </x:c>
      <x:c r="I879" s="40" t="n">
        <x:v>48</x:v>
      </x:c>
      <x:c r="J879" s="33" t="str">
        <x:v>Accord-cadre</x:v>
      </x:c>
      <x:c r="K879" s="33" t="str">
        <x:v>Appel d'offres ouvert</x:v>
      </x:c>
      <x:c r="L879" s="33" t="str">
        <x:v>Révisable</x:v>
      </x:c>
      <x:c r="M879" s="33" t="str">
        <x:v>(49) Maine-et-Loire</x:v>
      </x:c>
      <x:c r="N879" s="33" t="str">
        <x:v>Oui</x:v>
      </x:c>
      <x:c r="O879" s="33" t="str">
        <x:v>data.gouv.fr_aife</x:v>
      </x:c>
      <x:c r="P879" s="33" t="str">
        <x:v>2018130013933600</x:v>
      </x:c>
    </x:row>
    <x:row r="880">
      <x:c r="A880" s="33" t="str">
        <x:v>2018150916435900</x:v>
      </x:c>
      <x:c r="B880" s="33" t="str">
        <x:v>MINARM / SSF / DSSF Brest - Direction du service de soutien de la flotte de Brest - DSSF Brest</x:v>
      </x:c>
      <x:c r="C880" s="33" t="str">
        <x:v>LE LITTORAL</x:v>
      </x:c>
      <x:c r="D880" s="33" t="str">
        <x:v>Fourniture de manomètres de diverses marques ou équivalents pour les unités de la marine nationale</x:v>
      </x:c>
      <x:c r="E880" s="33" t="str">
        <x:v>Pièces pour navires de guerre.</x:v>
      </x:c>
      <x:c r="F880" s="36" t="n">
        <x:v>1151</x:v>
      </x:c>
      <x:c r="G880" s="38" t="n">
        <x:v>43438</x:v>
      </x:c>
      <x:c r="H880" s="38" t="n">
        <x:v>43438</x:v>
      </x:c>
      <x:c r="I880" s="40" t="n">
        <x:v>2</x:v>
      </x:c>
      <x:c r="J880" s="33" t="str">
        <x:v>Marché</x:v>
      </x:c>
      <x:c r="K880" s="33" t="str">
        <x:v>Procédure adaptée</x:v>
      </x:c>
      <x:c r="L880" s="33" t="str">
        <x:v>Ferme</x:v>
      </x:c>
      <x:c r="M880" s="33" t="str">
        <x:v>(29) Finistère</x:v>
      </x:c>
      <x:c r="N880" s="33" t="str">
        <x:v>Oui</x:v>
      </x:c>
      <x:c r="O880" s="33" t="str">
        <x:v>data.gouv.fr_aife</x:v>
      </x:c>
      <x:c r="P880" s="33" t="str">
        <x:v>2018150916435900</x:v>
      </x:c>
    </x:row>
    <x:row r="881">
      <x:c r="A881" s="33" t="str">
        <x:v>2018100013190600</x:v>
      </x:c>
      <x:c r="B881" s="33" t="str">
        <x:v>MINARM / SSF / DSSF Toulon - Direction du service de soutien de la flotte de Toulon - DSSF Toulon</x:v>
      </x:c>
      <x:c r="C881" s="33" t="str">
        <x:v>LE LITTORAL</x:v>
      </x:c>
      <x:c r="D881" s="33" t="str">
        <x:v>Accord-Cadre M16T20 010 relatif à l’approvisionnement de matériels électriques et électroniques pour le maintien en condition opérationnelle des Éléments de Force Maritime</x:v>
      </x:c>
      <x:c r="E881" s="33" t="str">
        <x:v>Pièces électroniques et électriques de rechange pour navires de guerre.</x:v>
      </x:c>
      <x:c r="F881" s="36" t="n">
        <x:v>9077</x:v>
      </x:c>
      <x:c r="G881" s="38" t="n">
        <x:v>43438</x:v>
      </x:c>
      <x:c r="H881" s="38" t="n">
        <x:v>43438</x:v>
      </x:c>
      <x:c r="I881" s="40" t="n">
        <x:v>3</x:v>
      </x:c>
      <x:c r="J881" s="33" t="str">
        <x:v>Marché subséquent</x:v>
      </x:c>
      <x:c r="K881" s="33" t="str">
        <x:v>Appel d'offres ouvert</x:v>
      </x:c>
      <x:c r="L881" s="33" t="str">
        <x:v>Ferme et actualisable</x:v>
      </x:c>
      <x:c r="M881" s="33" t="str">
        <x:v>(83) Var</x:v>
      </x:c>
      <x:c r="N881" s="33" t="str">
        <x:v>Oui</x:v>
      </x:c>
      <x:c r="O881" s="33" t="str">
        <x:v>data.gouv.fr_aife</x:v>
      </x:c>
      <x:c r="P881" s="33" t="str">
        <x:v>2018100013190600</x:v>
      </x:c>
    </x:row>
    <x:row r="882">
      <x:c r="A882" s="33" t="str">
        <x:v>2018130013985700</x:v>
      </x:c>
      <x:c r="B882" s="33" t="str">
        <x:v>MINARM / SSA / DAPSA - Direction des Approvisionnements en produits de santé des armées</x:v>
      </x:c>
      <x:c r="C882" s="33" t="str">
        <x:v>BECKMAN COULTER FRANCE</x:v>
      </x:c>
      <x:c r="D882" s="33" t="str">
        <x:v>l’acquisition d’un cytomètre de flux au profit de l'antenne de l’Institut de Recherche Biomédicale des Armées (I.R.B.A.) de Clamart et autres prestations</x:v>
      </x:c>
      <x:c r="E882" s="33" t="str">
        <x:v>Cytomètres.</x:v>
      </x:c>
      <x:c r="F882" s="36" t="n">
        <x:v>263129</x:v>
      </x:c>
      <x:c r="G882" s="38" t="n">
        <x:v>43438</x:v>
      </x:c>
      <x:c r="H882" s="38" t="n">
        <x:v>43438</x:v>
      </x:c>
      <x:c r="I882" s="40" t="n">
        <x:v>84</x:v>
      </x:c>
      <x:c r="J882" s="33" t="str">
        <x:v>Accord-cadre</x:v>
      </x:c>
      <x:c r="K882" s="33" t="str">
        <x:v>Appel d'offres ouvert</x:v>
      </x:c>
      <x:c r="L882" s="33" t="str">
        <x:v>Révisable</x:v>
      </x:c>
      <x:c r="M882" s="33" t="str">
        <x:v>(92) Hauts-de-Seine</x:v>
      </x:c>
      <x:c r="N882" s="33" t="str">
        <x:v>Oui</x:v>
      </x:c>
      <x:c r="O882" s="33" t="str">
        <x:v>data.gouv.fr_aife</x:v>
      </x:c>
      <x:c r="P882" s="33" t="str">
        <x:v>2018130013985700</x:v>
      </x:c>
    </x:row>
    <x:row r="883">
      <x:c r="A883" s="33" t="str">
        <x:v>2018130013988700</x:v>
      </x:c>
      <x:c r="B883" s="33" t="str">
        <x:v>MINARM / SGA / SID / ESID Toulon - Etablissement du service d'infrastructure de la défense de Toulon - ESID Toulon</x:v>
      </x:c>
      <x:c r="C883" s="33" t="str">
        <x:v>LA MAISON DU VOLET MARSEILLAIS</x:v>
      </x:c>
      <x:c r="D883" s="33" t="str">
        <x:v>Base de défense de Toulon - Travaux de menuiserie PVC et aluminium</x:v>
      </x:c>
      <x:c r="E883" s="33" t="str">
        <x:v>Pose de menuiseries métalliques, excepté portes et fenêtres.</x:v>
      </x:c>
      <x:c r="F883" s="36" t="n">
        <x:v>4000000</x:v>
      </x:c>
      <x:c r="G883" s="38" t="n">
        <x:v>43438</x:v>
      </x:c>
      <x:c r="H883" s="38" t="n">
        <x:v>43438</x:v>
      </x:c>
      <x:c r="I883" s="40" t="n">
        <x:v>48</x:v>
      </x:c>
      <x:c r="J883" s="33" t="str">
        <x:v>Accord-cadre</x:v>
      </x:c>
      <x:c r="K883" s="33" t="str">
        <x:v>Appel d'offres ouvert</x:v>
      </x:c>
      <x:c r="L883" s="33" t="str">
        <x:v>Révisable</x:v>
      </x:c>
      <x:c r="M883" s="33" t="str">
        <x:v>(83) Var</x:v>
      </x:c>
      <x:c r="N883" s="33" t="str">
        <x:v>Oui</x:v>
      </x:c>
      <x:c r="O883" s="33" t="str">
        <x:v>data.gouv.fr_aife</x:v>
      </x:c>
      <x:c r="P883" s="33" t="str">
        <x:v>2018130013988700</x:v>
      </x:c>
    </x:row>
    <x:row r="884">
      <x:c r="A884" s="33" t="str">
        <x:v>2018100013253200</x:v>
      </x:c>
      <x:c r="B884" s="33" t="str">
        <x:v>MINARM / SCA / PFC Sud - Plate-forme commissariat Sud (Toulon)</x:v>
      </x:c>
      <x:c r="C884" s="33" t="str">
        <x:v>LEFEVRE*MENES/PASCALE REINE/</x:v>
      </x:c>
      <x:c r="D884" s="33" t="str">
        <x:v>Réalisation et livraison de fanions et de hampes au profit d'organismes relevant du Ministère de la défense</x:v>
      </x:c>
      <x:c r="E884" s="33" t="str">
        <x:v>Drapeaux.</x:v>
      </x:c>
      <x:c r="F884" s="36" t="n">
        <x:v>9371</x:v>
      </x:c>
      <x:c r="G884" s="38" t="n">
        <x:v>43438</x:v>
      </x:c>
      <x:c r="H884" s="38" t="n">
        <x:v>43438</x:v>
      </x:c>
      <x:c r="I884" s="40" t="n">
        <x:v>6</x:v>
      </x:c>
      <x:c r="J884" s="33" t="str">
        <x:v>Marché subséquent</x:v>
      </x:c>
      <x:c r="K884" s="33" t="str">
        <x:v>Appel d'offres ouvert</x:v>
      </x:c>
      <x:c r="L884" s="33" t="str">
        <x:v>Ferme</x:v>
      </x:c>
      <x:c r="M884" s="33" t="str">
        <x:v>(13) Bouches-du-Rhône</x:v>
      </x:c>
      <x:c r="N884" s="33" t="str">
        <x:v>Oui</x:v>
      </x:c>
      <x:c r="O884" s="33" t="str">
        <x:v>data.gouv.fr_aife</x:v>
      </x:c>
      <x:c r="P884" s="33" t="str">
        <x:v>2018100013253200</x:v>
      </x:c>
    </x:row>
    <x:row r="885">
      <x:c r="A885" s="33" t="str">
        <x:v>2018130013930400</x:v>
      </x:c>
      <x:c r="B885" s="33" t="str">
        <x:v>MINARM / SCA / PFC Ouest - Plate-forme commissariat Ouest (Rennes)</x:v>
      </x:c>
      <x:c r="C885" s="33" t="str">
        <x:v>MAINE COLLECTE VALORISATION</x:v>
      </x:c>
      <x:c r="D885" s="33" t="str">
        <x:v>Mise à disposition de contenants, collecte, enlèvement et traitement des déchets sur les différents sites du Groupement de Soutien de la Base de Défense d'Angers Le Mans Saumur - mise à disposition de contenants, collecte, enlèvement et traitement</x:v>
      </x:c>
      <x:c r="E885" s="33" t="str">
        <x:v>Elimination et traitement des ordures.</x:v>
      </x:c>
      <x:c r="F885" s="36" t="n">
        <x:v>38276</x:v>
      </x:c>
      <x:c r="G885" s="38" t="n">
        <x:v>43438</x:v>
      </x:c>
      <x:c r="H885" s="38" t="n">
        <x:v>43438</x:v>
      </x:c>
      <x:c r="I885" s="40" t="n">
        <x:v>48</x:v>
      </x:c>
      <x:c r="J885" s="33" t="str">
        <x:v>Accord-cadre</x:v>
      </x:c>
      <x:c r="K885" s="33" t="str">
        <x:v>Appel d'offres ouvert</x:v>
      </x:c>
      <x:c r="L885" s="33" t="str">
        <x:v>Révisable</x:v>
      </x:c>
      <x:c r="M885" s="33" t="str">
        <x:v>(49) Maine-et-Loire</x:v>
      </x:c>
      <x:c r="N885" s="33" t="str">
        <x:v>Oui</x:v>
      </x:c>
      <x:c r="O885" s="33" t="str">
        <x:v>data.gouv.fr_aife</x:v>
      </x:c>
      <x:c r="P885" s="33" t="str">
        <x:v>2018130013930400</x:v>
      </x:c>
    </x:row>
    <x:row r="886">
      <x:c r="A886" s="33" t="str">
        <x:v>2018130013957000</x:v>
      </x:c>
      <x:c r="B886" s="33" t="str">
        <x:v>MINARM / DGA / DO / S2A / PROD / DA-SE - Division achats - Sud-Est</x:v>
      </x:c>
      <x:c r="C886" s="33" t="str">
        <x:v>ALLIANTECH</x:v>
      </x:c>
      <x:c r="D886" s="33" t="str">
        <x:v>Fourniture de capteurs de pression sous-marine</x:v>
      </x:c>
      <x:c r="E886" s="33" t="str">
        <x:v>Équipement électronique.</x:v>
      </x:c>
      <x:c r="F886" s="36" t="n">
        <x:v>125000</x:v>
      </x:c>
      <x:c r="G886" s="38" t="n">
        <x:v>43438</x:v>
      </x:c>
      <x:c r="H886" s="38" t="n">
        <x:v>43438</x:v>
      </x:c>
      <x:c r="I886" s="40" t="n">
        <x:v>60</x:v>
      </x:c>
      <x:c r="J886" s="33" t="str">
        <x:v>Accord-cadre</x:v>
      </x:c>
      <x:c r="K886" s="33" t="str"/>
      <x:c r="L886" s="33" t="str">
        <x:v>Ferme</x:v>
      </x:c>
      <x:c r="M886" s="33" t="str">
        <x:v>(83) Var</x:v>
      </x:c>
      <x:c r="N886" s="33" t="str">
        <x:v>Oui</x:v>
      </x:c>
      <x:c r="O886" s="33" t="str">
        <x:v>data.gouv.fr_aife</x:v>
      </x:c>
      <x:c r="P886" s="33" t="str">
        <x:v>2018130013957000</x:v>
      </x:c>
    </x:row>
    <x:row r="887">
      <x:c r="A887" s="33" t="str">
        <x:v>2018150915480400</x:v>
      </x:c>
      <x:c r="B887" s="33" t="str">
        <x:v>MINARM / SSF / DSSF Brest - Direction du service de soutien de la flotte de Brest - DSSF Brest</x:v>
      </x:c>
      <x:c r="C887" s="33" t="str">
        <x:v>TRIPARTITE</x:v>
      </x:c>
      <x:c r="D887" s="33" t="str">
        <x:v>Approvisionnement de rechanges électriques de marque LEGRAND ou équivalent au profit du P400 LA GLORIEUSE</x:v>
      </x:c>
      <x:c r="E887" s="33" t="str">
        <x:v>Pièces électroniques et électriques de rechange pour navires de guerre.</x:v>
      </x:c>
      <x:c r="F887" s="36" t="n">
        <x:v>4978</x:v>
      </x:c>
      <x:c r="G887" s="38" t="n">
        <x:v>43438</x:v>
      </x:c>
      <x:c r="H887" s="38" t="n">
        <x:v>43438</x:v>
      </x:c>
      <x:c r="I887" s="40" t="n">
        <x:v>1</x:v>
      </x:c>
      <x:c r="J887" s="33" t="str">
        <x:v>Marché</x:v>
      </x:c>
      <x:c r="K887" s="33" t="str">
        <x:v>Procédure adaptée</x:v>
      </x:c>
      <x:c r="L887" s="33" t="str">
        <x:v>Ferme</x:v>
      </x:c>
      <x:c r="M887" s="33" t="str">
        <x:v>(29) Finistère</x:v>
      </x:c>
      <x:c r="N887" s="33" t="str">
        <x:v>Oui</x:v>
      </x:c>
      <x:c r="O887" s="33" t="str">
        <x:v>data.gouv.fr_aife</x:v>
      </x:c>
      <x:c r="P887" s="33" t="str">
        <x:v>2018150915480400</x:v>
      </x:c>
    </x:row>
    <x:row r="888">
      <x:c r="A888" s="33" t="str">
        <x:v>2018150916151100</x:v>
      </x:c>
      <x:c r="B888" s="33" t="str">
        <x:v>MINARM / SSF / DSSF Brest - Direction du service de soutien de la flotte de Brest - DSSF Brest</x:v>
      </x:c>
      <x:c r="C888" s="33" t="str">
        <x:v>BERRA MARINE SERVICE</x:v>
      </x:c>
      <x:c r="D888" s="33" t="str">
        <x:v>Approvisionnement de divers rechanges de marques diverses ou équivalent au profit de bâtiments de la marine nationale.</x:v>
      </x:c>
      <x:c r="E888" s="33" t="str">
        <x:v>Pièces de rechange pour coque et pièces mécaniques pour navires de guerre.</x:v>
      </x:c>
      <x:c r="F888" s="36" t="n">
        <x:v>1072</x:v>
      </x:c>
      <x:c r="G888" s="38" t="n">
        <x:v>43438</x:v>
      </x:c>
      <x:c r="H888" s="38" t="n">
        <x:v>43438</x:v>
      </x:c>
      <x:c r="I888" s="40" t="n">
        <x:v>1</x:v>
      </x:c>
      <x:c r="J888" s="33" t="str">
        <x:v>Marché</x:v>
      </x:c>
      <x:c r="K888" s="33" t="str">
        <x:v>Procédure adaptée</x:v>
      </x:c>
      <x:c r="L888" s="33" t="str">
        <x:v>Ferme</x:v>
      </x:c>
      <x:c r="M888" s="33" t="str">
        <x:v>(29) Finistère</x:v>
      </x:c>
      <x:c r="N888" s="33" t="str">
        <x:v>Oui</x:v>
      </x:c>
      <x:c r="O888" s="33" t="str">
        <x:v>data.gouv.fr_aife</x:v>
      </x:c>
      <x:c r="P888" s="33" t="str">
        <x:v>2018150916151100</x:v>
      </x:c>
    </x:row>
    <x:row r="889">
      <x:c r="A889" s="33" t="str">
        <x:v>2018150916158200</x:v>
      </x:c>
      <x:c r="B889" s="33" t="str">
        <x:v>MINARM / SSF / DSSF Brest - Direction du service de soutien de la flotte de Brest - DSSF Brest</x:v>
      </x:c>
      <x:c r="C889" s="33" t="str">
        <x:v>LOGNAV-CM</x:v>
      </x:c>
      <x:c r="D889" s="33" t="str">
        <x:v>Approvisionnement de divers matériels de sécurité de marques diverses ou équivalent au profit de bâtiments de la marine nationale.</x:v>
      </x:c>
      <x:c r="E889" s="33" t="str">
        <x:v>Pièces de rechange pour coque et pièces mécaniques pour navires de guerre.</x:v>
      </x:c>
      <x:c r="F889" s="36" t="n">
        <x:v>13103</x:v>
      </x:c>
      <x:c r="G889" s="38" t="n">
        <x:v>43438</x:v>
      </x:c>
      <x:c r="H889" s="38" t="n">
        <x:v>43438</x:v>
      </x:c>
      <x:c r="I889" s="40" t="n">
        <x:v>2</x:v>
      </x:c>
      <x:c r="J889" s="33" t="str">
        <x:v>Marché</x:v>
      </x:c>
      <x:c r="K889" s="33" t="str">
        <x:v>Procédure adaptée</x:v>
      </x:c>
      <x:c r="L889" s="33" t="str">
        <x:v>Ferme</x:v>
      </x:c>
      <x:c r="M889" s="33" t="str">
        <x:v>(29) Finistère</x:v>
      </x:c>
      <x:c r="N889" s="33" t="str">
        <x:v>Oui</x:v>
      </x:c>
      <x:c r="O889" s="33" t="str">
        <x:v>data.gouv.fr_aife</x:v>
      </x:c>
      <x:c r="P889" s="33" t="str">
        <x:v>2018150916158200</x:v>
      </x:c>
    </x:row>
    <x:row r="890">
      <x:c r="A890" s="33" t="str">
        <x:v>2018100013237600</x:v>
      </x:c>
      <x:c r="B890" s="33" t="str">
        <x:v>MINARM / SSF / DSSF Toulon - Direction du service de soutien de la flotte de Toulon - DSSF Toulon</x:v>
      </x:c>
      <x:c r="C890" s="33" t="str">
        <x:v>AART ELECTRONICS</x:v>
      </x:c>
      <x:c r="D890" s="33" t="str">
        <x:v>Accord cadre M16T20 010 relatif à l’approvisionnement de matériels électriques et électroniques pour le maintien en condition opérationnelle (MCO) des Eléments de Force Maritime (EFM) et des Eléments de Force Armées (EFA). -</x:v>
      </x:c>
      <x:c r="E890" s="33" t="str">
        <x:v>Pièces électroniques et électriques de rechange pour navires de guerre.</x:v>
      </x:c>
      <x:c r="F890" s="36" t="n">
        <x:v>5142</x:v>
      </x:c>
      <x:c r="G890" s="38" t="n">
        <x:v>43438</x:v>
      </x:c>
      <x:c r="H890" s="38" t="n">
        <x:v>43438</x:v>
      </x:c>
      <x:c r="I890" s="40" t="n">
        <x:v>4</x:v>
      </x:c>
      <x:c r="J890" s="33" t="str">
        <x:v>Marché subséquent</x:v>
      </x:c>
      <x:c r="K890" s="33" t="str">
        <x:v>Appel d'offres ouvert</x:v>
      </x:c>
      <x:c r="L890" s="33" t="str">
        <x:v>Ferme et actualisable</x:v>
      </x:c>
      <x:c r="M890" s="33" t="str">
        <x:v>(83) Var</x:v>
      </x:c>
      <x:c r="N890" s="33" t="str">
        <x:v>Oui</x:v>
      </x:c>
      <x:c r="O890" s="33" t="str">
        <x:v>data.gouv.fr_aife</x:v>
      </x:c>
      <x:c r="P890" s="33" t="str">
        <x:v>2018100013237600</x:v>
      </x:c>
    </x:row>
    <x:row r="891">
      <x:c r="A891" s="33" t="str">
        <x:v>2018100013242400</x:v>
      </x:c>
      <x:c r="B891" s="33" t="str">
        <x:v>MINARM / SSF / DSSF Toulon - Direction du service de soutien de la flotte de Toulon - DSSF Toulon</x:v>
      </x:c>
      <x:c r="C891" s="33" t="str">
        <x:v>INEO DEFENSE</x:v>
      </x:c>
      <x:c r="D891" s="33" t="str">
        <x:v>Marché n° A18T20015 relatif à l'approvisionnement dantennes filaires de réception haute fréquence pour les SNA.</x:v>
      </x:c>
      <x:c r="E891" s="33" t="str">
        <x:v>Pièces pour navires de guerre.</x:v>
      </x:c>
      <x:c r="F891" s="36" t="n">
        <x:v>567600</x:v>
      </x:c>
      <x:c r="G891" s="38" t="n">
        <x:v>43438</x:v>
      </x:c>
      <x:c r="H891" s="38" t="n">
        <x:v>43438</x:v>
      </x:c>
      <x:c r="I891" s="40" t="n">
        <x:v>24</x:v>
      </x:c>
      <x:c r="J891" s="33" t="str">
        <x:v>Marché</x:v>
      </x:c>
      <x:c r="K891" s="33" t="str">
        <x:v>Appel d'offres ouvert</x:v>
      </x:c>
      <x:c r="L891" s="33" t="str">
        <x:v>Ferme et actualisable</x:v>
      </x:c>
      <x:c r="M891" s="33" t="str">
        <x:v>(83) Var</x:v>
      </x:c>
      <x:c r="N891" s="33" t="str">
        <x:v>Oui</x:v>
      </x:c>
      <x:c r="O891" s="33" t="str">
        <x:v>data.gouv.fr_aife</x:v>
      </x:c>
      <x:c r="P891" s="33" t="str">
        <x:v>2018100013242400</x:v>
      </x:c>
    </x:row>
    <x:row r="892">
      <x:c r="A892" s="33" t="str">
        <x:v>20182018T0008800</x:v>
      </x:c>
      <x:c r="B892" s="33" t="str">
        <x:v>MINARM / ESTM / EPA / ONAC - Office National des Anciens Combattants et victimes de guerre</x:v>
      </x:c>
      <x:c r="C892" s="33" t="str">
        <x:v>ITELYS</x:v>
      </x:c>
      <x:c r="D892" s="33" t="str">
        <x:v>Travaux de restauration des miradors, de la guérite et mise aux normes électriques de la Villa Eyret et du bloc cuisine de lancien camp de concentration de Natzweiler-Struthof à Natzwiller (67) - Consultation décomposée en 6 lots - Electricité</x:v>
      </x:c>
      <x:c r="E892" s="33" t="str">
        <x:v>Travaux d'installations électriques.</x:v>
      </x:c>
      <x:c r="F892" s="36" t="n">
        <x:v>98993</x:v>
      </x:c>
      <x:c r="G892" s="38" t="n">
        <x:v>43438</x:v>
      </x:c>
      <x:c r="H892" s="38" t="n">
        <x:v>43438</x:v>
      </x:c>
      <x:c r="I892" s="40" t="n">
        <x:v>44</x:v>
      </x:c>
      <x:c r="J892" s="33" t="str">
        <x:v>Marché</x:v>
      </x:c>
      <x:c r="K892" s="33" t="str">
        <x:v>Procédure adaptée</x:v>
      </x:c>
      <x:c r="L892" s="33" t="str">
        <x:v>Révisable</x:v>
      </x:c>
      <x:c r="M892" s="33" t="str">
        <x:v>(67) Bas-Rhin</x:v>
      </x:c>
      <x:c r="N892" s="33" t="str">
        <x:v>Oui</x:v>
      </x:c>
      <x:c r="O892" s="33" t="str">
        <x:v>data.gouv.fr_aife</x:v>
      </x:c>
      <x:c r="P892" s="33" t="str">
        <x:v>20182018T0008800</x:v>
      </x:c>
    </x:row>
    <x:row r="893">
      <x:c r="A893" s="33" t="str">
        <x:v>2018160005005500</x:v>
      </x:c>
      <x:c r="B893" s="33" t="str">
        <x:v>MINARM / SGA / SID / ESID Toulon - Etablissement du service d'infrastructure de la défense de Toulon - ESID Toulon</x:v>
      </x:c>
      <x:c r="C893" s="33" t="str">
        <x:v>ACS PRODUCTION</x:v>
      </x:c>
      <x:c r="D893" s="33" t="str">
        <x:v>Base Principale du Levant - Réparation de la couverture amovible des coupoles radars</x:v>
      </x:c>
      <x:c r="E893" s="33" t="str">
        <x:v>Réparation de toiture.</x:v>
      </x:c>
      <x:c r="F893" s="36" t="n">
        <x:v>189800</x:v>
      </x:c>
      <x:c r="G893" s="38" t="n">
        <x:v>43439</x:v>
      </x:c>
      <x:c r="H893" s="38" t="n">
        <x:v>43439</x:v>
      </x:c>
      <x:c r="I893" s="40" t="n">
        <x:v>8</x:v>
      </x:c>
      <x:c r="J893" s="33" t="str">
        <x:v>Marché</x:v>
      </x:c>
      <x:c r="K893" s="33" t="str">
        <x:v>Appel d'offres ouvert</x:v>
      </x:c>
      <x:c r="L893" s="33" t="str">
        <x:v>Ferme et actualisable</x:v>
      </x:c>
      <x:c r="M893" s="33" t="str">
        <x:v>(83) Var</x:v>
      </x:c>
      <x:c r="N893" s="33" t="str">
        <x:v>Oui</x:v>
      </x:c>
      <x:c r="O893" s="33" t="str">
        <x:v>data.gouv.fr_aife</x:v>
      </x:c>
      <x:c r="P893" s="33" t="str">
        <x:v>2018160005005500</x:v>
      </x:c>
    </x:row>
    <x:row r="894">
      <x:c r="A894" s="33" t="str">
        <x:v>2018100013161400</x:v>
      </x:c>
      <x:c r="B894" s="33" t="str">
        <x:v>MINARM / SSF / DSSF Toulon - Direction du service de soutien de la flotte de Toulon - DSSF Toulon</x:v>
      </x:c>
      <x:c r="C894" s="33" t="str">
        <x:v>LOGNAV-CM</x:v>
      </x:c>
      <x:c r="D894" s="33" t="str">
        <x:v>Accord cadre M16T20 016 relatif à la fourniture de matériels et d'équipements de plongée au profit des Eléments de la Force Maritime (EFM) et des Eléments de Force Armées (EFA). -</x:v>
      </x:c>
      <x:c r="E894" s="33" t="str">
        <x:v>Instruments ou accessoires de plongée.</x:v>
      </x:c>
      <x:c r="F894" s="36" t="n">
        <x:v>47160</x:v>
      </x:c>
      <x:c r="G894" s="38" t="n">
        <x:v>43439</x:v>
      </x:c>
      <x:c r="H894" s="38" t="n">
        <x:v>43439</x:v>
      </x:c>
      <x:c r="I894" s="40" t="n">
        <x:v>2</x:v>
      </x:c>
      <x:c r="J894" s="33" t="str">
        <x:v>Marché subséquent</x:v>
      </x:c>
      <x:c r="K894" s="33" t="str">
        <x:v>Appel d'offres ouvert</x:v>
      </x:c>
      <x:c r="L894" s="33" t="str">
        <x:v>Ferme et actualisable</x:v>
      </x:c>
      <x:c r="M894" s="33" t="str">
        <x:v>(83) Var</x:v>
      </x:c>
      <x:c r="N894" s="33" t="str">
        <x:v>Oui</x:v>
      </x:c>
      <x:c r="O894" s="33" t="str">
        <x:v>data.gouv.fr_aife</x:v>
      </x:c>
      <x:c r="P894" s="33" t="str">
        <x:v>2018100013161400</x:v>
      </x:c>
    </x:row>
    <x:row r="895">
      <x:c r="A895" s="33" t="str">
        <x:v>2018100013241700</x:v>
      </x:c>
      <x:c r="B895" s="33" t="str">
        <x:v>MINARM / SSF / DSSF Toulon - Direction du service de soutien de la flotte de Toulon - DSSF Toulon</x:v>
      </x:c>
      <x:c r="C895" s="33" t="str">
        <x:v>LOGNAV-CM</x:v>
      </x:c>
      <x:c r="D895" s="33" t="str">
        <x:v>Accord cadre N° 2016M16T20015 relatif à l’approvisionnement de fourniture de matériels de mesure et de contrôle nécessaires au maintien en condition opérationnelle (MCO) des Eléments de Force Maritime (EFM) et des Eléments de Force Armées (EFA)</x:v>
      </x:c>
      <x:c r="E895" s="33" t="str">
        <x:v>Pièces pour navires de guerre.</x:v>
      </x:c>
      <x:c r="F895" s="36" t="n">
        <x:v>26650</x:v>
      </x:c>
      <x:c r="G895" s="38" t="n">
        <x:v>43439</x:v>
      </x:c>
      <x:c r="H895" s="38" t="n">
        <x:v>43439</x:v>
      </x:c>
      <x:c r="I895" s="40" t="n">
        <x:v>3</x:v>
      </x:c>
      <x:c r="J895" s="33" t="str">
        <x:v>Marché subséquent</x:v>
      </x:c>
      <x:c r="K895" s="33" t="str">
        <x:v>Appel d'offres ouvert</x:v>
      </x:c>
      <x:c r="L895" s="33" t="str">
        <x:v>Ferme et actualisable</x:v>
      </x:c>
      <x:c r="M895" s="33" t="str">
        <x:v>(83) Var</x:v>
      </x:c>
      <x:c r="N895" s="33" t="str">
        <x:v>Oui</x:v>
      </x:c>
      <x:c r="O895" s="33" t="str">
        <x:v>data.gouv.fr_aife</x:v>
      </x:c>
      <x:c r="P895" s="33" t="str">
        <x:v>2018100013241700</x:v>
      </x:c>
    </x:row>
    <x:row r="896">
      <x:c r="A896" s="33" t="str">
        <x:v>2018130013935500</x:v>
      </x:c>
      <x:c r="B896" s="33" t="str">
        <x:v>MINARM / SCA / PFC Ouest - Plate-forme commissariat Ouest (Rennes)</x:v>
      </x:c>
      <x:c r="C896" s="33" t="str">
        <x:v>SOCIETE ORLEANAISE D'ASSAINISSEMENT</x:v>
      </x:c>
      <x:c r="D896" s="33" t="str">
        <x:v>Mise à disposition de contenants, collecte, enlèvement et traitement des déchets sur les différents sites du Groupement de Soutien de la Base de Défense d'Angers Le Mans Saumur - mise à disposition de contenants, collecte, enlèvement et traitement</x:v>
      </x:c>
      <x:c r="E896" s="33" t="str">
        <x:v>Elimination et traitement des ordures.</x:v>
      </x:c>
      <x:c r="F896" s="36" t="n">
        <x:v>2036</x:v>
      </x:c>
      <x:c r="G896" s="38" t="n">
        <x:v>43439</x:v>
      </x:c>
      <x:c r="H896" s="38" t="n">
        <x:v>43439</x:v>
      </x:c>
      <x:c r="I896" s="40" t="n">
        <x:v>48</x:v>
      </x:c>
      <x:c r="J896" s="33" t="str">
        <x:v>Accord-cadre</x:v>
      </x:c>
      <x:c r="K896" s="33" t="str">
        <x:v>Appel d'offres ouvert</x:v>
      </x:c>
      <x:c r="L896" s="33" t="str">
        <x:v>Révisable</x:v>
      </x:c>
      <x:c r="M896" s="33" t="str">
        <x:v>(49) Maine-et-Loire</x:v>
      </x:c>
      <x:c r="N896" s="33" t="str">
        <x:v>Oui</x:v>
      </x:c>
      <x:c r="O896" s="33" t="str">
        <x:v>data.gouv.fr_aife</x:v>
      </x:c>
      <x:c r="P896" s="33" t="str">
        <x:v>2018130013935500</x:v>
      </x:c>
    </x:row>
    <x:row r="897">
      <x:c r="A897" s="33" t="str">
        <x:v>2018130013984100</x:v>
      </x:c>
      <x:c r="B897" s="33" t="str">
        <x:v>MINARM / SCA / PFAT - Plate-forme affrètement et transport</x:v>
      </x:c>
      <x:c r="C897" s="33" t="str">
        <x:v>CAE-AVIATION</x:v>
      </x:c>
      <x:c r="D897" s="33" t="str">
        <x:v>Prestations de services nécessaires au maintien en condition opérationnelle des parachutistes du 13ème Régiment des dragons parachutistes (13ème RDP) par mise à disposition d'aéronef(s) avec pilote.</x:v>
      </x:c>
      <x:c r="E897" s="33" t="str">
        <x:v>Location d'aéronefs avec équipage.</x:v>
      </x:c>
      <x:c r="F897" s="36" t="n">
        <x:v>260000</x:v>
      </x:c>
      <x:c r="G897" s="38" t="n">
        <x:v>43439</x:v>
      </x:c>
      <x:c r="H897" s="38" t="n">
        <x:v>43439</x:v>
      </x:c>
      <x:c r="I897" s="40" t="n">
        <x:v>48</x:v>
      </x:c>
      <x:c r="J897" s="33" t="str">
        <x:v>Accord-cadre</x:v>
      </x:c>
      <x:c r="K897" s="33" t="str">
        <x:v>Appel d'offres ouvert</x:v>
      </x:c>
      <x:c r="L897" s="33" t="str">
        <x:v>Révisable</x:v>
      </x:c>
      <x:c r="M897" s="33" t="str">
        <x:v>(02) Aisne</x:v>
      </x:c>
      <x:c r="N897" s="33" t="str">
        <x:v>Oui</x:v>
      </x:c>
      <x:c r="O897" s="33" t="str">
        <x:v>data.gouv.fr_aife</x:v>
      </x:c>
      <x:c r="P897" s="33" t="str">
        <x:v>2018130013984100</x:v>
      </x:c>
    </x:row>
    <x:row r="898">
      <x:c r="A898" s="33" t="str">
        <x:v>20182018S8007600</x:v>
      </x:c>
      <x:c r="B898" s="33" t="str">
        <x:v>MINARM / SIAé - Service industriel de l'aéronautique</x:v>
      </x:c>
      <x:c r="C898" s="33" t="str">
        <x:v>POUCHAIN</x:v>
      </x:c>
      <x:c r="D898" s="33" t="str">
        <x:v>17113-Maintenance des bancs d'essais de la division équipements de l'atelier industriel de Cuers-Pierrefeu (AIA CP)</x:v>
      </x:c>
      <x:c r="E898" s="33" t="str">
        <x:v>Services de réparation et d'entretien.</x:v>
      </x:c>
      <x:c r="F898" s="36" t="n">
        <x:v>946033</x:v>
      </x:c>
      <x:c r="G898" s="38" t="n">
        <x:v>43439</x:v>
      </x:c>
      <x:c r="H898" s="38" t="n">
        <x:v>43439</x:v>
      </x:c>
      <x:c r="I898" s="40" t="n">
        <x:v>60</x:v>
      </x:c>
      <x:c r="J898" s="33" t="str">
        <x:v>Marché</x:v>
      </x:c>
      <x:c r="K898" s="33" t="str">
        <x:v>Appel d'offres restreint</x:v>
      </x:c>
      <x:c r="L898" s="33" t="str">
        <x:v>Révisable</x:v>
      </x:c>
      <x:c r="M898" s="33" t="str">
        <x:v>(83) Var</x:v>
      </x:c>
      <x:c r="N898" s="33" t="str">
        <x:v>Oui</x:v>
      </x:c>
      <x:c r="O898" s="33" t="str">
        <x:v>data.gouv.fr_aife</x:v>
      </x:c>
      <x:c r="P898" s="33" t="str">
        <x:v>20182018S8007600</x:v>
      </x:c>
    </x:row>
    <x:row r="899">
      <x:c r="A899" s="33" t="str">
        <x:v>20182018S0008000</x:v>
      </x:c>
      <x:c r="B899" s="33" t="str">
        <x:v>MINARM / ESTM / EPA / ONAC - Office National des Anciens Combattants et victimes de guerre</x:v>
      </x:c>
      <x:c r="C899" s="33" t="str">
        <x:v>HORIZON</x:v>
      </x:c>
      <x:c r="D899" s="33" t="str">
        <x:v>Entretien des espaces verts des nécropoles nationales et des carrés militaires - 2018016POL - Entretien des espaces verts des nécropoles nationales dans la Somme</x:v>
      </x:c>
      <x:c r="E899" s="33" t="str">
        <x:v>Réalisation et entretien d'espaces verts.</x:v>
      </x:c>
      <x:c r="F899" s="36" t="n">
        <x:v>73733</x:v>
      </x:c>
      <x:c r="G899" s="38" t="n">
        <x:v>43439</x:v>
      </x:c>
      <x:c r="H899" s="38" t="n">
        <x:v>43439</x:v>
      </x:c>
      <x:c r="I899" s="40" t="n">
        <x:v>48</x:v>
      </x:c>
      <x:c r="J899" s="33" t="str">
        <x:v>Accord-cadre</x:v>
      </x:c>
      <x:c r="K899" s="33" t="str">
        <x:v>Appel d'offres ouvert</x:v>
      </x:c>
      <x:c r="L899" s="33" t="str">
        <x:v>Révisable</x:v>
      </x:c>
      <x:c r="M899" s="33" t="str">
        <x:v>(54) Meurthe-et-Moselle</x:v>
      </x:c>
      <x:c r="N899" s="33" t="str">
        <x:v>Oui</x:v>
      </x:c>
      <x:c r="O899" s="33" t="str">
        <x:v>data.gouv.fr_aife</x:v>
      </x:c>
      <x:c r="P899" s="33" t="str">
        <x:v>20182018S0008000</x:v>
      </x:c>
    </x:row>
    <x:row r="900">
      <x:c r="A900" s="33" t="str">
        <x:v>2018120005891100</x:v>
      </x:c>
      <x:c r="B900" s="33" t="str">
        <x:v>MINARM / DMAé - Direction de la maintenance aéronautique</x:v>
      </x:c>
      <x:c r="C900" s="33" t="str">
        <x:v>THALES LAS FRANCE SAS</x:v>
      </x:c>
      <x:c r="D900" s="33" t="str">
        <x:v>Maintien en condition opérationnelle et de sécurité du système informatique du STRIDA/SCCOA (MSIS V) et traitement d'obsolescences</x:v>
      </x:c>
      <x:c r="E900" s="33" t="str">
        <x:v>Systèmes tactiques de commandement , de contrôle et de communication .</x:v>
      </x:c>
      <x:c r="F900" s="36" t="n">
        <x:v>71950000</x:v>
      </x:c>
      <x:c r="G900" s="38" t="n">
        <x:v>43439</x:v>
      </x:c>
      <x:c r="H900" s="38" t="n">
        <x:v>43439</x:v>
      </x:c>
      <x:c r="I900" s="40" t="n">
        <x:v>36</x:v>
      </x:c>
      <x:c r="J900" s="33" t="str">
        <x:v>Marché</x:v>
      </x:c>
      <x:c r="K900" s="33" t="str"/>
      <x:c r="L900" s="33" t="str">
        <x:v>Révisable</x:v>
      </x:c>
      <x:c r="M900" s="33" t="str">
        <x:v>(22) Côtes-d'Armor</x:v>
      </x:c>
      <x:c r="N900" s="33" t="str">
        <x:v>Oui</x:v>
      </x:c>
      <x:c r="O900" s="33" t="str">
        <x:v>data.gouv.fr_aife</x:v>
      </x:c>
      <x:c r="P900" s="33" t="str">
        <x:v>2018120005891100</x:v>
      </x:c>
    </x:row>
    <x:row r="901">
      <x:c r="A901" s="33" t="str">
        <x:v>2018150914775000</x:v>
      </x:c>
      <x:c r="B901" s="33" t="str">
        <x:v>MINARM / SSF / DSSF Brest - Direction du service de soutien de la flotte de Brest - DSSF Brest</x:v>
      </x:c>
      <x:c r="C901" s="33" t="str">
        <x:v>LOGNAV-CM</x:v>
      </x:c>
      <x:c r="D901" s="33" t="str">
        <x:v>Fourniture de bandeaux compacts de sécurité de diverses marques ou équivalents pour les unités de la marine nationale</x:v>
      </x:c>
      <x:c r="E901" s="33" t="str">
        <x:v>Pièces pour navires de guerre.</x:v>
      </x:c>
      <x:c r="F901" s="36" t="n">
        <x:v>8165</x:v>
      </x:c>
      <x:c r="G901" s="38" t="n">
        <x:v>43439</x:v>
      </x:c>
      <x:c r="H901" s="38" t="n">
        <x:v>43439</x:v>
      </x:c>
      <x:c r="I901" s="40" t="n">
        <x:v>2</x:v>
      </x:c>
      <x:c r="J901" s="33" t="str">
        <x:v>Marché</x:v>
      </x:c>
      <x:c r="K901" s="33" t="str">
        <x:v>Procédure adaptée</x:v>
      </x:c>
      <x:c r="L901" s="33" t="str">
        <x:v>Ferme</x:v>
      </x:c>
      <x:c r="M901" s="33" t="str">
        <x:v>(29) Finistère</x:v>
      </x:c>
      <x:c r="N901" s="33" t="str">
        <x:v>Oui</x:v>
      </x:c>
      <x:c r="O901" s="33" t="str">
        <x:v>data.gouv.fr_aife</x:v>
      </x:c>
      <x:c r="P901" s="33" t="str">
        <x:v>2018150914775000</x:v>
      </x:c>
    </x:row>
    <x:row r="902">
      <x:c r="A902" s="33" t="str">
        <x:v>2018100013254000</x:v>
      </x:c>
      <x:c r="B902" s="33" t="str">
        <x:v>MINARM / SSF / DSSF Toulon - Direction du service de soutien de la flotte de Toulon - DSSF Toulon</x:v>
      </x:c>
      <x:c r="C902" s="33" t="str">
        <x:v>LE LITTORAL</x:v>
      </x:c>
      <x:c r="D902" s="33" t="str">
        <x:v>AC 2015M15T20 052 relatif à l’approvisionnement de matériels de filtration pour le maintien en condition opérationnelle (MCO) des Eléments de Force Maritime (EFM) et des Eléments de Force Armées (EFA). -</x:v>
      </x:c>
      <x:c r="E902" s="33" t="str">
        <x:v>Filtres à huile, filtres à essence et filtres à air.</x:v>
      </x:c>
      <x:c r="F902" s="36" t="n">
        <x:v>7074</x:v>
      </x:c>
      <x:c r="G902" s="38" t="n">
        <x:v>43439</x:v>
      </x:c>
      <x:c r="H902" s="38" t="n">
        <x:v>43439</x:v>
      </x:c>
      <x:c r="I902" s="40" t="n">
        <x:v>3</x:v>
      </x:c>
      <x:c r="J902" s="33" t="str">
        <x:v>Marché subséquent</x:v>
      </x:c>
      <x:c r="K902" s="33" t="str">
        <x:v>Appel d'offres ouvert</x:v>
      </x:c>
      <x:c r="L902" s="33" t="str">
        <x:v>Ferme et actualisable</x:v>
      </x:c>
      <x:c r="M902" s="33" t="str">
        <x:v>(83) Var</x:v>
      </x:c>
      <x:c r="N902" s="33" t="str">
        <x:v>Oui</x:v>
      </x:c>
      <x:c r="O902" s="33" t="str">
        <x:v>data.gouv.fr_aife</x:v>
      </x:c>
      <x:c r="P902" s="33" t="str">
        <x:v>2018100013254000</x:v>
      </x:c>
    </x:row>
    <x:row r="903">
      <x:c r="A903" s="33" t="str">
        <x:v>2018130013952800</x:v>
      </x:c>
      <x:c r="B903" s="33" t="str">
        <x:v>MINARM / DIRISI - Direction Interarmées des Réseaux d'Infrastructure et des Systèmes d'Information de la défense</x:v>
      </x:c>
      <x:c r="C903" s="33" t="str">
        <x:v>ITNI</x:v>
      </x:c>
      <x:c r="D903" s="33" t="str">
        <x:v>L'étude, la fourniture, la mise en oeuvre, la configuration, le maintien en condition opérationnelle ou l'évolution de systèmes de protection d'accès et de sécurisation de sécurisation de la Citadelle Général Bergé 1 RPIMa. - PASSDEF.</x:v>
      </x:c>
      <x:c r="E903" s="33" t="str">
        <x:v>Systèmes et appareils de surveillance et de sécurité.</x:v>
      </x:c>
      <x:c r="F903" s="36" t="n">
        <x:v>8333333</x:v>
      </x:c>
      <x:c r="G903" s="38" t="n">
        <x:v>43439</x:v>
      </x:c>
      <x:c r="H903" s="38" t="n">
        <x:v>43439</x:v>
      </x:c>
      <x:c r="I903" s="40" t="n">
        <x:v>36</x:v>
      </x:c>
      <x:c r="J903" s="33" t="str">
        <x:v>Marché subséquent</x:v>
      </x:c>
      <x:c r="K903" s="33" t="str"/>
      <x:c r="L903" s="33" t="str">
        <x:v>Révisable</x:v>
      </x:c>
      <x:c r="M903" s="33" t="str">
        <x:v>(33) Gironde</x:v>
      </x:c>
      <x:c r="N903" s="33" t="str">
        <x:v>Oui</x:v>
      </x:c>
      <x:c r="O903" s="33" t="str">
        <x:v>data.gouv.fr_aife</x:v>
      </x:c>
      <x:c r="P903" s="33" t="str">
        <x:v>2018130013952800</x:v>
      </x:c>
    </x:row>
    <x:row r="904">
      <x:c r="A904" s="33" t="str">
        <x:v>2018150915793500</x:v>
      </x:c>
      <x:c r="B904" s="33" t="str">
        <x:v>MINARM / SSF / DSSF Brest - Direction du service de soutien de la flotte de Brest - DSSF Brest</x:v>
      </x:c>
      <x:c r="C904" s="33" t="str">
        <x:v>FICHOU SAS</x:v>
      </x:c>
      <x:c r="D904" s="33" t="str">
        <x:v>Approvisionnement d'un couvercle filtre à fluide de marque VOLVO PENTA ou équivalent au profit des bâtiments de la Marine Nationale</x:v>
      </x:c>
      <x:c r="E904" s="33" t="str">
        <x:v>Pièces de rechange pour coque et pièces mécaniques pour navires de guerre.</x:v>
      </x:c>
      <x:c r="F904" s="36" t="n">
        <x:v>42</x:v>
      </x:c>
      <x:c r="G904" s="38" t="n">
        <x:v>43439</x:v>
      </x:c>
      <x:c r="H904" s="38" t="n">
        <x:v>43439</x:v>
      </x:c>
      <x:c r="I904" s="40" t="n">
        <x:v>1</x:v>
      </x:c>
      <x:c r="J904" s="33" t="str">
        <x:v>Marché</x:v>
      </x:c>
      <x:c r="K904" s="33" t="str">
        <x:v>Procédure adaptée</x:v>
      </x:c>
      <x:c r="L904" s="33" t="str">
        <x:v>Ferme</x:v>
      </x:c>
      <x:c r="M904" s="33" t="str">
        <x:v>(29) Finistère</x:v>
      </x:c>
      <x:c r="N904" s="33" t="str">
        <x:v>Oui</x:v>
      </x:c>
      <x:c r="O904" s="33" t="str">
        <x:v>data.gouv.fr_aife</x:v>
      </x:c>
      <x:c r="P904" s="33" t="str">
        <x:v>2018150915793500</x:v>
      </x:c>
    </x:row>
    <x:row r="905">
      <x:c r="A905" s="33" t="str">
        <x:v>2018100013212900</x:v>
      </x:c>
      <x:c r="B905" s="33" t="str">
        <x:v>MINARM / SSF / DSSF Toulon - Direction du service de soutien de la flotte de Toulon - DSSF Toulon</x:v>
      </x:c>
      <x:c r="C905" s="33" t="str">
        <x:v>LOGNAV-CM</x:v>
      </x:c>
      <x:c r="D905" s="33" t="str">
        <x:v>Accord cadre N° 2016 M 16 T 20 004 relatif à la fourniture de matériels de transmission mécanique et de propulsion pour les besoins nécessaires au maintien en condition opérationnelle des Eléments de la Force Maritime et des Eléments de la Force A</x:v>
      </x:c>
      <x:c r="E905" s="33" t="str">
        <x:v>Moteur et pièces de moteur pour navires de guerre.</x:v>
      </x:c>
      <x:c r="F905" s="36" t="n">
        <x:v>10335</x:v>
      </x:c>
      <x:c r="G905" s="38" t="n">
        <x:v>43439</x:v>
      </x:c>
      <x:c r="H905" s="38" t="n">
        <x:v>43439</x:v>
      </x:c>
      <x:c r="I905" s="40" t="n">
        <x:v>3</x:v>
      </x:c>
      <x:c r="J905" s="33" t="str">
        <x:v>Marché subséquent</x:v>
      </x:c>
      <x:c r="K905" s="33" t="str">
        <x:v>Appel d'offres ouvert</x:v>
      </x:c>
      <x:c r="L905" s="33" t="str">
        <x:v>Ferme et actualisable</x:v>
      </x:c>
      <x:c r="M905" s="33" t="str">
        <x:v>(83) Var</x:v>
      </x:c>
      <x:c r="N905" s="33" t="str">
        <x:v>Oui</x:v>
      </x:c>
      <x:c r="O905" s="33" t="str">
        <x:v>data.gouv.fr_aife</x:v>
      </x:c>
      <x:c r="P905" s="33" t="str">
        <x:v>2018100013212900</x:v>
      </x:c>
    </x:row>
    <x:row r="906">
      <x:c r="A906" s="33" t="str">
        <x:v>2018100013240500</x:v>
      </x:c>
      <x:c r="B906" s="33" t="str">
        <x:v>MINARM / DIRISI - Direction Interarmées des Réseaux d'Infrastructure et des Systèmes d'Information de la défense</x:v>
      </x:c>
      <x:c r="C906" s="33" t="str">
        <x:v>S-CUBE</x:v>
      </x:c>
      <x:c r="D906" s="33" t="str">
        <x:v>Acquisition centralisee d'ecrans et de micro-ordinateurs standards et des prestations associees au profit du Ministere de la Defense - Ecrans de configuration standard</x:v>
      </x:c>
      <x:c r="E906" s="33" t="str">
        <x:v>Écrans.</x:v>
      </x:c>
      <x:c r="F906" s="36" t="n">
        <x:v>516250</x:v>
      </x:c>
      <x:c r="G906" s="38" t="n">
        <x:v>43439</x:v>
      </x:c>
      <x:c r="H906" s="38" t="n">
        <x:v>43439</x:v>
      </x:c>
      <x:c r="I906" s="40" t="n">
        <x:v>15</x:v>
      </x:c>
      <x:c r="J906" s="33" t="str">
        <x:v>Marché</x:v>
      </x:c>
      <x:c r="K906" s="33" t="str">
        <x:v>Appel d'offres ouvert</x:v>
      </x:c>
      <x:c r="L906" s="33" t="str">
        <x:v>Ferme et actualisable</x:v>
      </x:c>
      <x:c r="M906" s="33" t="str">
        <x:v>(94) Val-de-Marne</x:v>
      </x:c>
      <x:c r="N906" s="33" t="str">
        <x:v>Oui</x:v>
      </x:c>
      <x:c r="O906" s="33" t="str">
        <x:v>data.gouv.fr_aife</x:v>
      </x:c>
      <x:c r="P906" s="33" t="str">
        <x:v>2018100013240500</x:v>
      </x:c>
    </x:row>
    <x:row r="907">
      <x:c r="A907" s="33" t="str">
        <x:v>2018100013243200</x:v>
      </x:c>
      <x:c r="B907" s="33" t="str">
        <x:v>MINARM / DIRISI - Direction Interarmées des Réseaux d'Infrastructure et des Systèmes d'Information de la défense</x:v>
      </x:c>
      <x:c r="C907" s="33" t="str">
        <x:v>SCC FRANCE</x:v>
      </x:c>
      <x:c r="D907" s="33" t="str">
        <x:v>Acquisition centralisee d'ecrans et de micro-ordinateurs standards et des prestations associees au profit du Ministere de la Defense - Micro-ordinateurs de bureau de configuration standard et accessoires</x:v>
      </x:c>
      <x:c r="E907" s="33" t="str">
        <x:v>Unités centrales pour micro-ordinateurs.</x:v>
      </x:c>
      <x:c r="F907" s="36" t="n">
        <x:v>3178859</x:v>
      </x:c>
      <x:c r="G907" s="38" t="n">
        <x:v>43439</x:v>
      </x:c>
      <x:c r="H907" s="38" t="n">
        <x:v>43439</x:v>
      </x:c>
      <x:c r="I907" s="40" t="n">
        <x:v>15</x:v>
      </x:c>
      <x:c r="J907" s="33" t="str">
        <x:v>Marché</x:v>
      </x:c>
      <x:c r="K907" s="33" t="str">
        <x:v>Appel d'offres ouvert</x:v>
      </x:c>
      <x:c r="L907" s="33" t="str">
        <x:v>Ferme et actualisable</x:v>
      </x:c>
      <x:c r="M907" s="33" t="str">
        <x:v>(94) Val-de-Marne</x:v>
      </x:c>
      <x:c r="N907" s="33" t="str">
        <x:v>Oui</x:v>
      </x:c>
      <x:c r="O907" s="33" t="str">
        <x:v>data.gouv.fr_aife</x:v>
      </x:c>
      <x:c r="P907" s="33" t="str">
        <x:v>2018100013243200</x:v>
      </x:c>
    </x:row>
    <x:row r="908">
      <x:c r="A908" s="33" t="str">
        <x:v>2018100013247000</x:v>
      </x:c>
      <x:c r="B908" s="33" t="str">
        <x:v>MINARM / SGA / SID / ESID Metz - Etablissement du service d'infrastructure de la défense de Metz - ESID Metz</x:v>
      </x:c>
      <x:c r="C908" s="33" t="str">
        <x:v>CK Technology</x:v>
      </x:c>
      <x:c r="D908" s="33" t="str">
        <x:v>SAINT-DIZIER (52) – Base Aérienne 113 – Fourniture et livraison de granulats synthétiques.</x:v>
      </x:c>
      <x:c r="E908" s="33" t="str">
        <x:v>Caoutchouc et fibres synthétiques.</x:v>
      </x:c>
      <x:c r="F908" s="36" t="n">
        <x:v>6750</x:v>
      </x:c>
      <x:c r="G908" s="38" t="n">
        <x:v>43440</x:v>
      </x:c>
      <x:c r="H908" s="38" t="n">
        <x:v>43440</x:v>
      </x:c>
      <x:c r="I908" s="40" t="n">
        <x:v>1</x:v>
      </x:c>
      <x:c r="J908" s="33" t="str">
        <x:v>Marché subséquent</x:v>
      </x:c>
      <x:c r="K908" s="33" t="str">
        <x:v>Appel d'offres ouvert</x:v>
      </x:c>
      <x:c r="L908" s="33" t="str">
        <x:v>Ferme</x:v>
      </x:c>
      <x:c r="M908" s="33" t="str">
        <x:v>(52) Haute-Marne</x:v>
      </x:c>
      <x:c r="N908" s="33" t="str">
        <x:v>Oui</x:v>
      </x:c>
      <x:c r="O908" s="33" t="str">
        <x:v>data.gouv.fr_aife</x:v>
      </x:c>
      <x:c r="P908" s="33" t="str">
        <x:v>2018100013247000</x:v>
      </x:c>
    </x:row>
    <x:row r="909">
      <x:c r="A909" s="33" t="str">
        <x:v>2018150915794500</x:v>
      </x:c>
      <x:c r="B909" s="33" t="str">
        <x:v>MINARM / SSF / DSSF Brest - Direction du service de soutien de la flotte de Brest - DSSF Brest</x:v>
      </x:c>
      <x:c r="C909" s="33" t="str">
        <x:v>LOGNAV-CM</x:v>
      </x:c>
      <x:c r="D909" s="33" t="str">
        <x:v>Approvisionnement de modulateurs TV bande latérale de marque IKUSI ANGEL IGLESIAS SA ou équivalent au profit des bâtiments de la Marine Nationale</x:v>
      </x:c>
      <x:c r="E909" s="33" t="str">
        <x:v>Pièces électroniques et électriques de rechange pour navires de guerre.</x:v>
      </x:c>
      <x:c r="F909" s="36" t="n">
        <x:v>992</x:v>
      </x:c>
      <x:c r="G909" s="38" t="n">
        <x:v>43440</x:v>
      </x:c>
      <x:c r="H909" s="38" t="n">
        <x:v>43440</x:v>
      </x:c>
      <x:c r="I909" s="40" t="n">
        <x:v>1</x:v>
      </x:c>
      <x:c r="J909" s="33" t="str">
        <x:v>Marché</x:v>
      </x:c>
      <x:c r="K909" s="33" t="str">
        <x:v>Procédure adaptée</x:v>
      </x:c>
      <x:c r="L909" s="33" t="str">
        <x:v>Ferme</x:v>
      </x:c>
      <x:c r="M909" s="33" t="str">
        <x:v>(29) Finistère</x:v>
      </x:c>
      <x:c r="N909" s="33" t="str">
        <x:v>Oui</x:v>
      </x:c>
      <x:c r="O909" s="33" t="str">
        <x:v>data.gouv.fr_aife</x:v>
      </x:c>
      <x:c r="P909" s="33" t="str">
        <x:v>2018150915794500</x:v>
      </x:c>
    </x:row>
    <x:row r="910">
      <x:c r="A910" s="33" t="str">
        <x:v>2018100013227200</x:v>
      </x:c>
      <x:c r="B910" s="33" t="str">
        <x:v>MINARM / SSF / DSSF Toulon - Direction du service de soutien de la flotte de Toulon - DSSF Toulon</x:v>
      </x:c>
      <x:c r="C910" s="33" t="str">
        <x:v>MEGA SARL</x:v>
      </x:c>
      <x:c r="D910" s="33" t="str">
        <x:v>Accord cadre N° 2016 M 16 T 20 004 relatif à la fourniture de matériels de transmission mécanique et de propulsion pour les besoins nécessaires au maintien en condition opérationnelle des Eléments de la Force Maritime et des Eléments de la Force A</x:v>
      </x:c>
      <x:c r="E910" s="33" t="str">
        <x:v>Moteur et pièces de moteur pour navires de guerre.</x:v>
      </x:c>
      <x:c r="F910" s="36" t="n">
        <x:v>3641</x:v>
      </x:c>
      <x:c r="G910" s="38" t="n">
        <x:v>43440</x:v>
      </x:c>
      <x:c r="H910" s="38" t="n">
        <x:v>43440</x:v>
      </x:c>
      <x:c r="I910" s="40" t="n">
        <x:v>9</x:v>
      </x:c>
      <x:c r="J910" s="33" t="str">
        <x:v>Marché subséquent</x:v>
      </x:c>
      <x:c r="K910" s="33" t="str">
        <x:v>Appel d'offres ouvert</x:v>
      </x:c>
      <x:c r="L910" s="33" t="str">
        <x:v>Ferme et actualisable</x:v>
      </x:c>
      <x:c r="M910" s="33" t="str">
        <x:v>(83) Var</x:v>
      </x:c>
      <x:c r="N910" s="33" t="str">
        <x:v>Oui</x:v>
      </x:c>
      <x:c r="O910" s="33" t="str">
        <x:v>data.gouv.fr_aife</x:v>
      </x:c>
      <x:c r="P910" s="33" t="str">
        <x:v>2018100013227200</x:v>
      </x:c>
    </x:row>
    <x:row r="911">
      <x:c r="A911" s="33" t="str">
        <x:v>2018100013240400</x:v>
      </x:c>
      <x:c r="B911" s="33" t="str">
        <x:v>MINARM / DIRISI - Direction Interarmées des Réseaux d'Infrastructure et des Systèmes d'Information de la défense</x:v>
      </x:c>
      <x:c r="C911" s="33" t="str">
        <x:v>COMPUTACENTER FRANCE</x:v>
      </x:c>
      <x:c r="D911" s="33" t="str">
        <x:v>Acquisition centralisee d'ecrans et de micro-ordinateurs standards et des prestations associees au profit du Ministere de la Defense - Mobilité et ultra-mobilité de configuration standard et accessoires.</x:v>
      </x:c>
      <x:c r="E911" s="33" t="str">
        <x:v>Ordinateurs portables.</x:v>
      </x:c>
      <x:c r="F911" s="36" t="n">
        <x:v>1707510</x:v>
      </x:c>
      <x:c r="G911" s="38" t="n">
        <x:v>43440</x:v>
      </x:c>
      <x:c r="H911" s="38" t="n">
        <x:v>43440</x:v>
      </x:c>
      <x:c r="I911" s="40" t="n">
        <x:v>15</x:v>
      </x:c>
      <x:c r="J911" s="33" t="str">
        <x:v>Marché</x:v>
      </x:c>
      <x:c r="K911" s="33" t="str">
        <x:v>Appel d'offres ouvert</x:v>
      </x:c>
      <x:c r="L911" s="33" t="str">
        <x:v>Ferme et actualisable</x:v>
      </x:c>
      <x:c r="M911" s="33" t="str">
        <x:v>(94) Val-de-Marne</x:v>
      </x:c>
      <x:c r="N911" s="33" t="str">
        <x:v>Oui</x:v>
      </x:c>
      <x:c r="O911" s="33" t="str">
        <x:v>data.gouv.fr_aife</x:v>
      </x:c>
      <x:c r="P911" s="33" t="str">
        <x:v>2018100013240400</x:v>
      </x:c>
    </x:row>
    <x:row r="912">
      <x:c r="A912" s="33" t="str">
        <x:v>20182018S5018100</x:v>
      </x:c>
      <x:c r="B912" s="33" t="str">
        <x:v>MINARM / ESTM / EPA / ONAC - Office National des Anciens Combattants et victimes de guerre</x:v>
      </x:c>
      <x:c r="C912" s="33" t="str">
        <x:v>IDVERDE</x:v>
      </x:c>
      <x:c r="D912" s="33" t="str">
        <x:v>Entretien des espaces verts des nécropoles nationales et des carrés militaires - 2018018POL - Entretien des espaces verts de nécropoles nationales et de carrés militaires de la Somme</x:v>
      </x:c>
      <x:c r="E912" s="33" t="str">
        <x:v>Réalisation et entretien d'espaces verts.</x:v>
      </x:c>
      <x:c r="F912" s="36" t="n">
        <x:v>108521</x:v>
      </x:c>
      <x:c r="G912" s="38" t="n">
        <x:v>43440</x:v>
      </x:c>
      <x:c r="H912" s="38" t="n">
        <x:v>43440</x:v>
      </x:c>
      <x:c r="I912" s="40" t="n">
        <x:v>48</x:v>
      </x:c>
      <x:c r="J912" s="33" t="str">
        <x:v>Accord-cadre</x:v>
      </x:c>
      <x:c r="K912" s="33" t="str">
        <x:v>Appel d'offres ouvert</x:v>
      </x:c>
      <x:c r="L912" s="33" t="str">
        <x:v>Révisable</x:v>
      </x:c>
      <x:c r="M912" s="33" t="str">
        <x:v>(54) Meurthe-et-Moselle</x:v>
      </x:c>
      <x:c r="N912" s="33" t="str">
        <x:v>Oui</x:v>
      </x:c>
      <x:c r="O912" s="33" t="str">
        <x:v>data.gouv.fr_aife</x:v>
      </x:c>
      <x:c r="P912" s="33" t="str">
        <x:v>20182018S5018100</x:v>
      </x:c>
    </x:row>
    <x:row r="913">
      <x:c r="A913" s="33" t="str">
        <x:v>2018130013981300</x:v>
      </x:c>
      <x:c r="B913" s="33" t="str">
        <x:v>"MINARM / SCA / PFC RBT / CIEC - Centre interarmées du soutien équipements commissariat"""""</x:v>
      </x:c>
      <x:c r="C913" s="33" t="str"/>
      <x:c r="D913" s="33" t="str">
        <x:v>Fourniture d'équipements relatifs aux : - lot n° 1 contrôles des foules, - lot n° 2 aux techniques d'intervention opérationnelles rapprochées (TIOR) - lot n°3 entrainement aux sports de combat au - Equipements destinés aux entrainements aux sports de</x:v>
      </x:c>
      <x:c r="E913" s="33" t="str">
        <x:v>Vêtements de protection et de sécurité.</x:v>
      </x:c>
      <x:c r="F913" s="36" t="n">
        <x:v>388000</x:v>
      </x:c>
      <x:c r="G913" s="38" t="n">
        <x:v>43440</x:v>
      </x:c>
      <x:c r="H913" s="38" t="n">
        <x:v>43440</x:v>
      </x:c>
      <x:c r="I913" s="40" t="n">
        <x:v>48</x:v>
      </x:c>
      <x:c r="J913" s="33" t="str">
        <x:v>Accord-cadre</x:v>
      </x:c>
      <x:c r="K913" s="33" t="str">
        <x:v>Appel d'offres ouvert</x:v>
      </x:c>
      <x:c r="L913" s="33" t="str">
        <x:v>Révisable</x:v>
      </x:c>
      <x:c r="M913" s="33" t="str">
        <x:v>(78) Yvelines</x:v>
      </x:c>
      <x:c r="N913" s="33" t="str">
        <x:v>Oui</x:v>
      </x:c>
      <x:c r="O913" s="33" t="str">
        <x:v>data.gouv.fr_aife</x:v>
      </x:c>
      <x:c r="P913" s="33" t="str">
        <x:v>2018130013981300</x:v>
      </x:c>
    </x:row>
    <x:row r="914">
      <x:c r="A914" s="33" t="str">
        <x:v>2018150915792400</x:v>
      </x:c>
      <x:c r="B914" s="33" t="str">
        <x:v>MINARM / SSF / DSSF Brest - Direction du service de soutien de la flotte de Brest - DSSF Brest</x:v>
      </x:c>
      <x:c r="C914" s="33" t="str">
        <x:v>LOGNAV-CM</x:v>
      </x:c>
      <x:c r="D914" s="33" t="str">
        <x:v>Fourniture de rechanges mécaniques de marques diverses ou équivalentes au profit des bâtiments de la marine nationale</x:v>
      </x:c>
      <x:c r="E914" s="33" t="str">
        <x:v>Pièces de rechange pour coque et pièces mécaniques pour navires de guerre.</x:v>
      </x:c>
      <x:c r="F914" s="36" t="n">
        <x:v>4560</x:v>
      </x:c>
      <x:c r="G914" s="38" t="n">
        <x:v>43440</x:v>
      </x:c>
      <x:c r="H914" s="38" t="n">
        <x:v>43440</x:v>
      </x:c>
      <x:c r="I914" s="40" t="n">
        <x:v>1</x:v>
      </x:c>
      <x:c r="J914" s="33" t="str">
        <x:v>Marché</x:v>
      </x:c>
      <x:c r="K914" s="33" t="str">
        <x:v>Procédure adaptée</x:v>
      </x:c>
      <x:c r="L914" s="33" t="str">
        <x:v>Ferme</x:v>
      </x:c>
      <x:c r="M914" s="33" t="str">
        <x:v>(29) Finistère</x:v>
      </x:c>
      <x:c r="N914" s="33" t="str">
        <x:v>Oui</x:v>
      </x:c>
      <x:c r="O914" s="33" t="str">
        <x:v>data.gouv.fr_aife</x:v>
      </x:c>
      <x:c r="P914" s="33" t="str">
        <x:v>2018150915792400</x:v>
      </x:c>
    </x:row>
    <x:row r="915">
      <x:c r="A915" s="33" t="str">
        <x:v>2018120005915900</x:v>
      </x:c>
      <x:c r="B915" s="33" t="str">
        <x:v>MINARM / DGA / DS / ITE - DGA Intelligence technique et économique</x:v>
      </x:c>
      <x:c r="C915" s="33" t="str">
        <x:v>DIGIMIND</x:v>
      </x:c>
      <x:c r="D915" s="33" t="str">
        <x:v>Fourniture dun abonnement à une plateforme de veille sur sources internet (VSI)</x:v>
      </x:c>
      <x:c r="E915" s="33" t="str">
        <x:v>Services d'abonnement.</x:v>
      </x:c>
      <x:c r="F915" s="36" t="n">
        <x:v>612000</x:v>
      </x:c>
      <x:c r="G915" s="38" t="n">
        <x:v>43440</x:v>
      </x:c>
      <x:c r="H915" s="38" t="n">
        <x:v>43440</x:v>
      </x:c>
      <x:c r="I915" s="40" t="n">
        <x:v>48</x:v>
      </x:c>
      <x:c r="J915" s="33" t="str">
        <x:v>Accord-cadre</x:v>
      </x:c>
      <x:c r="K915" s="33" t="str">
        <x:v>Appel d'offres ouvert</x:v>
      </x:c>
      <x:c r="L915" s="33" t="str">
        <x:v>Révisable</x:v>
      </x:c>
      <x:c r="M915" s="33" t="str">
        <x:v>(75) Paris</x:v>
      </x:c>
      <x:c r="N915" s="33" t="str">
        <x:v>Oui</x:v>
      </x:c>
      <x:c r="O915" s="33" t="str">
        <x:v>data.gouv.fr_aife</x:v>
      </x:c>
      <x:c r="P915" s="33" t="str">
        <x:v>2018120005915900</x:v>
      </x:c>
    </x:row>
    <x:row r="916">
      <x:c r="A916" s="33" t="str">
        <x:v>2018120005919000</x:v>
      </x:c>
      <x:c r="B916" s="33" t="str">
        <x:v>MINARM / SCA / PFC Paris - Plate-forme commissariat Paris (Saint-Germain-en-Laye)</x:v>
      </x:c>
      <x:c r="C916" s="33" t="str">
        <x:v>CREAVERT - COEUR DE VEXIN</x:v>
      </x:c>
      <x:c r="D916" s="33" t="str">
        <x:v>Entretien des espaces verts au profit des sites de la DGA TH et de l'EAR de Doullens - Entretien des espaces verts au profit du site de la DGA TH - LOT N° 1</x:v>
      </x:c>
      <x:c r="E916" s="33" t="str">
        <x:v>Réalisation et entretien d'espaces verts.</x:v>
      </x:c>
      <x:c r="F916" s="36" t="n">
        <x:v>120000</x:v>
      </x:c>
      <x:c r="G916" s="38" t="n">
        <x:v>43440</x:v>
      </x:c>
      <x:c r="H916" s="38" t="n">
        <x:v>43440</x:v>
      </x:c>
      <x:c r="I916" s="40" t="n">
        <x:v>48</x:v>
      </x:c>
      <x:c r="J916" s="33" t="str">
        <x:v>Marché</x:v>
      </x:c>
      <x:c r="K916" s="33" t="str">
        <x:v>Appel d'offres ouvert</x:v>
      </x:c>
      <x:c r="L916" s="33" t="str">
        <x:v>Ferme</x:v>
      </x:c>
      <x:c r="M916" s="33" t="str">
        <x:v>(80) Somme</x:v>
      </x:c>
      <x:c r="N916" s="33" t="str">
        <x:v>Oui</x:v>
      </x:c>
      <x:c r="O916" s="33" t="str">
        <x:v>data.gouv.fr_aife</x:v>
      </x:c>
      <x:c r="P916" s="33" t="str">
        <x:v>2018120005919000</x:v>
      </x:c>
    </x:row>
    <x:row r="917">
      <x:c r="A917" s="33" t="str">
        <x:v>2018100013206000</x:v>
      </x:c>
      <x:c r="B917" s="33" t="str">
        <x:v>MINARM / SCA / PFC Sud-Est - Plate-forme commissariat Sud-Est (Lyon)</x:v>
      </x:c>
      <x:c r="C917" s="33" t="str">
        <x:v>PRET A PARTIR STIA</x:v>
      </x:c>
      <x:c r="D917" s="33" t="str">
        <x:v>La prestation de transport quotidien aller-retour en car Varennes sur allier et Yzeure pour des personnels du Ministère des Armées</x:v>
      </x:c>
      <x:c r="E917" s="33" t="str">
        <x:v>Services de transport routier public.</x:v>
      </x:c>
      <x:c r="F917" s="36" t="n">
        <x:v>41105</x:v>
      </x:c>
      <x:c r="G917" s="38" t="n">
        <x:v>43440</x:v>
      </x:c>
      <x:c r="H917" s="38" t="n">
        <x:v>43440</x:v>
      </x:c>
      <x:c r="I917" s="40" t="n">
        <x:v>48</x:v>
      </x:c>
      <x:c r="J917" s="33" t="str">
        <x:v>Marché</x:v>
      </x:c>
      <x:c r="K917" s="33" t="str">
        <x:v>Appel d'offres ouvert</x:v>
      </x:c>
      <x:c r="L917" s="33" t="str">
        <x:v>Révisable</x:v>
      </x:c>
      <x:c r="M917" s="33" t="str">
        <x:v>(03) Allier</x:v>
      </x:c>
      <x:c r="N917" s="33" t="str">
        <x:v>Oui</x:v>
      </x:c>
      <x:c r="O917" s="33" t="str">
        <x:v>data.gouv.fr_aife</x:v>
      </x:c>
      <x:c r="P917" s="33" t="str">
        <x:v>2018100013206000</x:v>
      </x:c>
    </x:row>
    <x:row r="918">
      <x:c r="A918" s="33" t="str">
        <x:v>2018130013943700</x:v>
      </x:c>
      <x:c r="B918" s="33" t="str">
        <x:v>"MINARM / SCA / PFC RBT / CIEC - Centre interarmées du soutien équipements commissariat"""""</x:v>
      </x:c>
      <x:c r="C918" s="33" t="str">
        <x:v>TERRANG MP - SEC FRANCE</x:v>
      </x:c>
      <x:c r="D918" s="33" t="str">
        <x:v>Fourniture d'équipements relatifs aux : - lot n° 1 contrôles des foules, - lot n° 2 aux techniques d'intervention opérationnelles rapprochées (TIOR) - lot n°3 entrainement aux sports de combat au - Equipement destinés aux Techniques dIntervention Opé</x:v>
      </x:c>
      <x:c r="E918" s="33" t="str">
        <x:v>Vêtements de protection et de sécurité.</x:v>
      </x:c>
      <x:c r="F918" s="36" t="n">
        <x:v>2872000</x:v>
      </x:c>
      <x:c r="G918" s="38" t="n">
        <x:v>43440</x:v>
      </x:c>
      <x:c r="H918" s="38" t="n">
        <x:v>43440</x:v>
      </x:c>
      <x:c r="I918" s="40" t="n">
        <x:v>48</x:v>
      </x:c>
      <x:c r="J918" s="33" t="str">
        <x:v>Accord-cadre</x:v>
      </x:c>
      <x:c r="K918" s="33" t="str">
        <x:v>Appel d'offres ouvert</x:v>
      </x:c>
      <x:c r="L918" s="33" t="str">
        <x:v>Révisable</x:v>
      </x:c>
      <x:c r="M918" s="33" t="str">
        <x:v>(78) Yvelines</x:v>
      </x:c>
      <x:c r="N918" s="33" t="str">
        <x:v>Oui</x:v>
      </x:c>
      <x:c r="O918" s="33" t="str">
        <x:v>data.gouv.fr_aife</x:v>
      </x:c>
      <x:c r="P918" s="33" t="str">
        <x:v>2018130013943700</x:v>
      </x:c>
    </x:row>
    <x:row r="919">
      <x:c r="A919" s="33" t="str">
        <x:v>2018150915794400</x:v>
      </x:c>
      <x:c r="B919" s="33" t="str">
        <x:v>MINARM / DGA / DO / S2A / PROD / DA-BA - Division achats - Toulouse/Balma</x:v>
      </x:c>
      <x:c r="C919" s="33" t="str">
        <x:v>LUMASENSE TECHNOLOGIES</x:v>
      </x:c>
      <x:c r="D919" s="33" t="str">
        <x:v>Fourniture de matériels de mesure pour DGA Techniques aéronautiques. - Contrat décomposé en 6 lots. - PYROMETRE OPTIQUE INFRAROUGE HAUTE TEMPERATURE</x:v>
      </x:c>
      <x:c r="E919" s="33" t="str">
        <x:v>Matériel de mesure et de contrôle.</x:v>
      </x:c>
      <x:c r="F919" s="36" t="n">
        <x:v>4584</x:v>
      </x:c>
      <x:c r="G919" s="38" t="n">
        <x:v>43440</x:v>
      </x:c>
      <x:c r="H919" s="38" t="n">
        <x:v>43440</x:v>
      </x:c>
      <x:c r="I919" s="40" t="n">
        <x:v>2</x:v>
      </x:c>
      <x:c r="J919" s="33" t="str">
        <x:v>Marché</x:v>
      </x:c>
      <x:c r="K919" s="33" t="str"/>
      <x:c r="L919" s="33" t="str">
        <x:v>Ferme</x:v>
      </x:c>
      <x:c r="M919" s="33" t="str">
        <x:v>(31) Haute-Garonne</x:v>
      </x:c>
      <x:c r="N919" s="33" t="str">
        <x:v>Oui</x:v>
      </x:c>
      <x:c r="O919" s="33" t="str">
        <x:v>data.gouv.fr_aife</x:v>
      </x:c>
      <x:c r="P919" s="33" t="str">
        <x:v>2018150915794400</x:v>
      </x:c>
    </x:row>
    <x:row r="920">
      <x:c r="A920" s="33" t="str">
        <x:v>2018150916157800</x:v>
      </x:c>
      <x:c r="B920" s="33" t="str">
        <x:v>MINARM / DGA / DO / S2A / PROD / DA-BA - Division achats - Toulouse/Balma</x:v>
      </x:c>
      <x:c r="C920" s="33" t="str">
        <x:v>KISTLER FRANCE</x:v>
      </x:c>
      <x:c r="D920" s="33" t="str">
        <x:v>Fourniture de matériels de mesure pour DGA Techniques aéronautiques. - Contrat décomposé en 6 lots. - ACCELEROMETRES PIEZO-ELECTRIQUES</x:v>
      </x:c>
      <x:c r="E920" s="33" t="str">
        <x:v>Matériel de mesure et de contrôle.</x:v>
      </x:c>
      <x:c r="F920" s="36" t="n">
        <x:v>18450</x:v>
      </x:c>
      <x:c r="G920" s="38" t="n">
        <x:v>43440</x:v>
      </x:c>
      <x:c r="H920" s="38" t="n">
        <x:v>43440</x:v>
      </x:c>
      <x:c r="I920" s="40" t="n">
        <x:v>3</x:v>
      </x:c>
      <x:c r="J920" s="33" t="str">
        <x:v>Marché</x:v>
      </x:c>
      <x:c r="K920" s="33" t="str"/>
      <x:c r="L920" s="33" t="str">
        <x:v>Ferme</x:v>
      </x:c>
      <x:c r="M920" s="33" t="str">
        <x:v>(31) Haute-Garonne</x:v>
      </x:c>
      <x:c r="N920" s="33" t="str">
        <x:v>Oui</x:v>
      </x:c>
      <x:c r="O920" s="33" t="str">
        <x:v>data.gouv.fr_aife</x:v>
      </x:c>
      <x:c r="P920" s="33" t="str">
        <x:v>2018150916157800</x:v>
      </x:c>
    </x:row>
    <x:row r="921">
      <x:c r="A921" s="33" t="str">
        <x:v>2018150914763400</x:v>
      </x:c>
      <x:c r="B921" s="33" t="str">
        <x:v>MINARM / SSF / DSSF Brest - Direction du service de soutien de la flotte de Brest - DSSF Brest</x:v>
      </x:c>
      <x:c r="C921" s="33" t="str">
        <x:v>LOGNAV-CM</x:v>
      </x:c>
      <x:c r="D921" s="33" t="str">
        <x:v>Fourniture de rideaux de douche de diverses marques ou équivalents pour les unités de la marine</x:v>
      </x:c>
      <x:c r="E921" s="33" t="str">
        <x:v>Pièces pour navires de guerre.</x:v>
      </x:c>
      <x:c r="F921" s="36" t="n">
        <x:v>1217</x:v>
      </x:c>
      <x:c r="G921" s="38" t="n">
        <x:v>43440</x:v>
      </x:c>
      <x:c r="H921" s="38" t="n">
        <x:v>43440</x:v>
      </x:c>
      <x:c r="I921" s="40" t="n">
        <x:v>3</x:v>
      </x:c>
      <x:c r="J921" s="33" t="str">
        <x:v>Marché</x:v>
      </x:c>
      <x:c r="K921" s="33" t="str">
        <x:v>Procédure adaptée</x:v>
      </x:c>
      <x:c r="L921" s="33" t="str">
        <x:v>Ferme</x:v>
      </x:c>
      <x:c r="M921" s="33" t="str">
        <x:v>(29) Finistère</x:v>
      </x:c>
      <x:c r="N921" s="33" t="str">
        <x:v>Oui</x:v>
      </x:c>
      <x:c r="O921" s="33" t="str">
        <x:v>data.gouv.fr_aife</x:v>
      </x:c>
      <x:c r="P921" s="33" t="str">
        <x:v>2018150914763400</x:v>
      </x:c>
    </x:row>
    <x:row r="922">
      <x:c r="A922" s="33" t="str">
        <x:v>2018150915133600</x:v>
      </x:c>
      <x:c r="B922" s="33" t="str">
        <x:v>MINARM / SSF / DSSF Brest - Direction du service de soutien de la flotte de Brest - DSSF Brest</x:v>
      </x:c>
      <x:c r="C922" s="33" t="str">
        <x:v>LOGNAV-CM</x:v>
      </x:c>
      <x:c r="D922" s="33" t="str">
        <x:v>Approvisionnement de quincailleries, outillages de marques diverses ou équivalent au profit des bâtiments de la Marine Nationale</x:v>
      </x:c>
      <x:c r="E922" s="33" t="str">
        <x:v>Pièces de rechange pour coque et pièces mécaniques pour navires de guerre.</x:v>
      </x:c>
      <x:c r="F922" s="36" t="n">
        <x:v>6203</x:v>
      </x:c>
      <x:c r="G922" s="38" t="n">
        <x:v>43440</x:v>
      </x:c>
      <x:c r="H922" s="38" t="n">
        <x:v>43440</x:v>
      </x:c>
      <x:c r="I922" s="40" t="n">
        <x:v>4</x:v>
      </x:c>
      <x:c r="J922" s="33" t="str">
        <x:v>Marché</x:v>
      </x:c>
      <x:c r="K922" s="33" t="str">
        <x:v>Procédure adaptée</x:v>
      </x:c>
      <x:c r="L922" s="33" t="str">
        <x:v>Ferme</x:v>
      </x:c>
      <x:c r="M922" s="33" t="str">
        <x:v>(29) Finistère</x:v>
      </x:c>
      <x:c r="N922" s="33" t="str">
        <x:v>Oui</x:v>
      </x:c>
      <x:c r="O922" s="33" t="str">
        <x:v>data.gouv.fr_aife</x:v>
      </x:c>
      <x:c r="P922" s="33" t="str">
        <x:v>2018150915133600</x:v>
      </x:c>
    </x:row>
    <x:row r="923">
      <x:c r="A923" s="33" t="str">
        <x:v>2018100013258000</x:v>
      </x:c>
      <x:c r="B923" s="33" t="str">
        <x:v>MINARM / SSF / DSSF Toulon - Direction du service de soutien de la flotte de Toulon - DSSF Toulon</x:v>
      </x:c>
      <x:c r="C923" s="33" t="str">
        <x:v>LOGNAV-CM</x:v>
      </x:c>
      <x:c r="D923" s="33" t="str">
        <x:v>AC M15T20 025 relatif à la fourniture de matériels de robinetterie tels que vannes, soupapes, clapets, robinets, détendeurs, valves, raccords, coudes, tubes, tuyaux, colliers, brides, manchons, flexibles et accessoires associés pour les besoins néces</x:v>
      </x:c>
      <x:c r="E923" s="33" t="str">
        <x:v>Pièces pour navires de guerre.</x:v>
      </x:c>
      <x:c r="F923" s="36" t="n">
        <x:v>17980</x:v>
      </x:c>
      <x:c r="G923" s="38" t="n">
        <x:v>43440</x:v>
      </x:c>
      <x:c r="H923" s="38" t="n">
        <x:v>43440</x:v>
      </x:c>
      <x:c r="I923" s="40" t="n">
        <x:v>2</x:v>
      </x:c>
      <x:c r="J923" s="33" t="str">
        <x:v>Marché subséquent</x:v>
      </x:c>
      <x:c r="K923" s="33" t="str">
        <x:v>Appel d'offres ouvert</x:v>
      </x:c>
      <x:c r="L923" s="33" t="str">
        <x:v>Ferme et actualisable</x:v>
      </x:c>
      <x:c r="M923" s="33" t="str">
        <x:v>(83) Var</x:v>
      </x:c>
      <x:c r="N923" s="33" t="str">
        <x:v>Oui</x:v>
      </x:c>
      <x:c r="O923" s="33" t="str">
        <x:v>data.gouv.fr_aife</x:v>
      </x:c>
      <x:c r="P923" s="33" t="str">
        <x:v>2018100013258000</x:v>
      </x:c>
    </x:row>
    <x:row r="924">
      <x:c r="A924" s="33" t="str">
        <x:v>2018100013213400</x:v>
      </x:c>
      <x:c r="B924" s="33" t="str">
        <x:v>MINARM / SGA / DSNJ - Direction du Service National et de la Jeunesse - DSNJ</x:v>
      </x:c>
      <x:c r="C924" s="33" t="str">
        <x:v>COOPERATIVE DES AUTOCARISTES REUNIS</x:v>
      </x:c>
      <x:c r="D924" s="33" t="str">
        <x:v>Transport par autocar de l'équipe encadrante et les jeunes administrés convoqués à la Journée Défense et Citoyenneté (JDC) par les CSN - CSN Nîmes Site du Quartier El Parras</x:v>
      </x:c>
      <x:c r="E924" s="33" t="str">
        <x:v>Transport non régulier de passagers.</x:v>
      </x:c>
      <x:c r="F924" s="36" t="n">
        <x:v>104883</x:v>
      </x:c>
      <x:c r="G924" s="38" t="n">
        <x:v>43440</x:v>
      </x:c>
      <x:c r="H924" s="38" t="n">
        <x:v>43440</x:v>
      </x:c>
      <x:c r="I924" s="40" t="n">
        <x:v>36</x:v>
      </x:c>
      <x:c r="J924" s="33" t="str">
        <x:v>Marché</x:v>
      </x:c>
      <x:c r="K924" s="33" t="str">
        <x:v>Appel d'offres ouvert</x:v>
      </x:c>
      <x:c r="L924" s="33" t="str">
        <x:v>Révisable</x:v>
      </x:c>
      <x:c r="M924" s="33" t="str">
        <x:v>(91) Essonne</x:v>
      </x:c>
      <x:c r="N924" s="33" t="str">
        <x:v>Oui</x:v>
      </x:c>
      <x:c r="O924" s="33" t="str">
        <x:v>data.gouv.fr_aife</x:v>
      </x:c>
      <x:c r="P924" s="33" t="str">
        <x:v>2018100013213400</x:v>
      </x:c>
    </x:row>
    <x:row r="925">
      <x:c r="A925" s="33" t="str">
        <x:v>20182018S0008100</x:v>
      </x:c>
      <x:c r="B925" s="33" t="str">
        <x:v>MINARM / ESTM / EPA / ONAC - Office National des Anciens Combattants et victimes de guerre</x:v>
      </x:c>
      <x:c r="C925" s="33" t="str">
        <x:v>IDVERDE</x:v>
      </x:c>
      <x:c r="D925" s="33" t="str">
        <x:v>Entretien des espaces verts des nécropoles nationales et des carrés militaires - 2018017POL - Entretien des espaces verts de nécropoles nationales et de carrés militaires de la Somme et du Pas de Calais</x:v>
      </x:c>
      <x:c r="E925" s="33" t="str">
        <x:v>Réalisation et entretien d'espaces verts.</x:v>
      </x:c>
      <x:c r="F925" s="36" t="n">
        <x:v>173403</x:v>
      </x:c>
      <x:c r="G925" s="38" t="n">
        <x:v>43440</x:v>
      </x:c>
      <x:c r="H925" s="38" t="n">
        <x:v>43440</x:v>
      </x:c>
      <x:c r="I925" s="40" t="n">
        <x:v>48</x:v>
      </x:c>
      <x:c r="J925" s="33" t="str">
        <x:v>Accord-cadre</x:v>
      </x:c>
      <x:c r="K925" s="33" t="str">
        <x:v>Appel d'offres ouvert</x:v>
      </x:c>
      <x:c r="L925" s="33" t="str">
        <x:v>Révisable</x:v>
      </x:c>
      <x:c r="M925" s="33" t="str">
        <x:v>(54) Meurthe-et-Moselle</x:v>
      </x:c>
      <x:c r="N925" s="33" t="str">
        <x:v>Oui</x:v>
      </x:c>
      <x:c r="O925" s="33" t="str">
        <x:v>data.gouv.fr_aife</x:v>
      </x:c>
      <x:c r="P925" s="33" t="str">
        <x:v>20182018S0008100</x:v>
      </x:c>
    </x:row>
    <x:row r="926">
      <x:c r="A926" s="33" t="str">
        <x:v>2018100013231000</x:v>
      </x:c>
      <x:c r="B926" s="33" t="str">
        <x:v>MINARM / SSF / DSSF Toulon - Direction du service de soutien de la flotte de Toulon - DSSF Toulon</x:v>
      </x:c>
      <x:c r="C926" s="33" t="str">
        <x:v>LOGNAV-CM</x:v>
      </x:c>
      <x:c r="D926" s="33" t="str">
        <x:v>Accord cadre M16T20 024 relatif à la fourniture de rechanges de joints d’étanchéité divers pour les besoins nécessaires au maintien en condition opérationnelle des Eléments de la Force Maritime. -</x:v>
      </x:c>
      <x:c r="E926" s="33" t="str">
        <x:v>Pièces pour navires de guerre.</x:v>
      </x:c>
      <x:c r="F926" s="36" t="n">
        <x:v>3368</x:v>
      </x:c>
      <x:c r="G926" s="38" t="n">
        <x:v>43440</x:v>
      </x:c>
      <x:c r="H926" s="38" t="n">
        <x:v>43440</x:v>
      </x:c>
      <x:c r="I926" s="40" t="n">
        <x:v>6</x:v>
      </x:c>
      <x:c r="J926" s="33" t="str">
        <x:v>Marché subséquent</x:v>
      </x:c>
      <x:c r="K926" s="33" t="str">
        <x:v>Appel d'offres ouvert</x:v>
      </x:c>
      <x:c r="L926" s="33" t="str">
        <x:v>Ferme et actualisable</x:v>
      </x:c>
      <x:c r="M926" s="33" t="str">
        <x:v>(83) Var</x:v>
      </x:c>
      <x:c r="N926" s="33" t="str">
        <x:v>Oui</x:v>
      </x:c>
      <x:c r="O926" s="33" t="str">
        <x:v>data.gouv.fr_aife</x:v>
      </x:c>
      <x:c r="P926" s="33" t="str">
        <x:v>2018100013231000</x:v>
      </x:c>
    </x:row>
    <x:row r="927">
      <x:c r="A927" s="33" t="str">
        <x:v>2018100013237800</x:v>
      </x:c>
      <x:c r="B927" s="33" t="str">
        <x:v>MINARM / SSF / DSSF Toulon - Direction du service de soutien de la flotte de Toulon - DSSF Toulon</x:v>
      </x:c>
      <x:c r="C927" s="33" t="str">
        <x:v>LOGNAV-CM</x:v>
      </x:c>
      <x:c r="D927" s="33" t="str">
        <x:v>Accord cadre M16T20 003 relatif à la fourniture de matériels de quincaillerie et d'outillage naval. -</x:v>
      </x:c>
      <x:c r="E927" s="33" t="str">
        <x:v>Quincaillerie.</x:v>
      </x:c>
      <x:c r="F927" s="36" t="n">
        <x:v>1508</x:v>
      </x:c>
      <x:c r="G927" s="38" t="n">
        <x:v>43440</x:v>
      </x:c>
      <x:c r="H927" s="38" t="n">
        <x:v>43440</x:v>
      </x:c>
      <x:c r="I927" s="40" t="n">
        <x:v>12</x:v>
      </x:c>
      <x:c r="J927" s="33" t="str">
        <x:v>Marché subséquent</x:v>
      </x:c>
      <x:c r="K927" s="33" t="str">
        <x:v>Appel d'offres ouvert</x:v>
      </x:c>
      <x:c r="L927" s="33" t="str">
        <x:v>Ferme et actualisable</x:v>
      </x:c>
      <x:c r="M927" s="33" t="str">
        <x:v>(83) Var</x:v>
      </x:c>
      <x:c r="N927" s="33" t="str">
        <x:v>Oui</x:v>
      </x:c>
      <x:c r="O927" s="33" t="str">
        <x:v>data.gouv.fr_aife</x:v>
      </x:c>
      <x:c r="P927" s="33" t="str">
        <x:v>2018100013237800</x:v>
      </x:c>
    </x:row>
    <x:row r="928">
      <x:c r="A928" s="33" t="str">
        <x:v>2018100013213800</x:v>
      </x:c>
      <x:c r="B928" s="33" t="str">
        <x:v>MINARM / SGA / DSNJ - Direction du Service National et de la Jeunesse - DSNJ</x:v>
      </x:c>
      <x:c r="C928" s="33" t="str">
        <x:v>SOCIETE DES TRANSPORTS INTERURBAINS DU CENTRE</x:v>
      </x:c>
      <x:c r="D928" s="33" t="str">
        <x:v>Transport par autocar de l'équipe encadrante et les jeunes administrés convoqués à la Journée Défense et Citoyenneté (JDC) par les CSN - CSN Orléans Site du 12ème BSMAT</x:v>
      </x:c>
      <x:c r="E928" s="33" t="str">
        <x:v>Transport non régulier de passagers.</x:v>
      </x:c>
      <x:c r="F928" s="36" t="n">
        <x:v>37058</x:v>
      </x:c>
      <x:c r="G928" s="38" t="n">
        <x:v>43440</x:v>
      </x:c>
      <x:c r="H928" s="38" t="n">
        <x:v>43440</x:v>
      </x:c>
      <x:c r="I928" s="40" t="n">
        <x:v>36</x:v>
      </x:c>
      <x:c r="J928" s="33" t="str">
        <x:v>Marché</x:v>
      </x:c>
      <x:c r="K928" s="33" t="str">
        <x:v>Appel d'offres ouvert</x:v>
      </x:c>
      <x:c r="L928" s="33" t="str">
        <x:v>Révisable</x:v>
      </x:c>
      <x:c r="M928" s="33" t="str">
        <x:v>(91) Essonne</x:v>
      </x:c>
      <x:c r="N928" s="33" t="str">
        <x:v>Oui</x:v>
      </x:c>
      <x:c r="O928" s="33" t="str">
        <x:v>data.gouv.fr_aife</x:v>
      </x:c>
      <x:c r="P928" s="33" t="str">
        <x:v>2018100013213800</x:v>
      </x:c>
    </x:row>
    <x:row r="929">
      <x:c r="A929" s="33" t="str">
        <x:v>20182018S6549100</x:v>
      </x:c>
      <x:c r="B929" s="33" t="str">
        <x:v>MINARM / SGA / SID / DID Cayenne - Direction d'infrastructure de la défense de Cayenne - DID Cayenne</x:v>
      </x:c>
      <x:c r="C929" s="33" t="str">
        <x:v>SARL BILLON</x:v>
      </x:c>
      <x:c r="D929" s="33" t="str">
        <x:v>Le présent accord-cadre a pour objectif : - -d’assurer la maintenance préventive et corrective des groupes électrogènes de secours des forces armées en Guyane ; - -de permettre grâce aux prestations de maintenance la pérennisation des équipements</x:v>
      </x:c>
      <x:c r="E929" s="33" t="str">
        <x:v>Services de réparation et d'entretien de générateurs.</x:v>
      </x:c>
      <x:c r="F929" s="36" t="n">
        <x:v>9150</x:v>
      </x:c>
      <x:c r="G929" s="38" t="n">
        <x:v>43440</x:v>
      </x:c>
      <x:c r="H929" s="38" t="n">
        <x:v>43440</x:v>
      </x:c>
      <x:c r="I929" s="40" t="n">
        <x:v>50</x:v>
      </x:c>
      <x:c r="J929" s="33" t="str">
        <x:v>Accord-cadre</x:v>
      </x:c>
      <x:c r="K929" s="33" t="str">
        <x:v>Appel d'offres ouvert</x:v>
      </x:c>
      <x:c r="L929" s="33" t="str">
        <x:v>Ferme et actualisable</x:v>
      </x:c>
      <x:c r="M929" s="33" t="str">
        <x:v>(973) Guyane</x:v>
      </x:c>
      <x:c r="N929" s="33" t="str">
        <x:v>Oui</x:v>
      </x:c>
      <x:c r="O929" s="33" t="str">
        <x:v>data.gouv.fr_aife</x:v>
      </x:c>
      <x:c r="P929" s="33" t="str">
        <x:v>20182018S6549100</x:v>
      </x:c>
    </x:row>
    <x:row r="930">
      <x:c r="A930" s="33" t="str">
        <x:v>2018150915796000</x:v>
      </x:c>
      <x:c r="B930" s="33" t="str">
        <x:v>MINARM / SGA / SID / ESID Metz - Etablissement du service d'infrastructure de la défense de Metz - ESID Metz</x:v>
      </x:c>
      <x:c r="C930" s="33" t="str">
        <x:v>SIEMENS S.A.S</x:v>
      </x:c>
      <x:c r="D930" s="33" t="str">
        <x:v>SAINT-DIZIER (52) - BA 113 - Mise à niveau du système incendie</x:v>
      </x:c>
      <x:c r="E930" s="33" t="str">
        <x:v>Équipement de lutte contre l'incendie.</x:v>
      </x:c>
      <x:c r="F930" s="36" t="n">
        <x:v>137490</x:v>
      </x:c>
      <x:c r="G930" s="38" t="n">
        <x:v>43440</x:v>
      </x:c>
      <x:c r="H930" s="38" t="n">
        <x:v>43440</x:v>
      </x:c>
      <x:c r="I930" s="40" t="n">
        <x:v>13</x:v>
      </x:c>
      <x:c r="J930" s="33" t="str">
        <x:v>Marché</x:v>
      </x:c>
      <x:c r="K930" s="33" t="str">
        <x:v>Appel d'offres ouvert</x:v>
      </x:c>
      <x:c r="L930" s="33" t="str">
        <x:v>Ferme et actualisable</x:v>
      </x:c>
      <x:c r="M930" s="33" t="str">
        <x:v>(52) Haute-Marne</x:v>
      </x:c>
      <x:c r="N930" s="33" t="str">
        <x:v>Oui</x:v>
      </x:c>
      <x:c r="O930" s="33" t="str">
        <x:v>data.gouv.fr_aife</x:v>
      </x:c>
      <x:c r="P930" s="33" t="str">
        <x:v>2018150915796000</x:v>
      </x:c>
    </x:row>
    <x:row r="931">
      <x:c r="A931" s="33" t="str">
        <x:v>2018150915794200</x:v>
      </x:c>
      <x:c r="B931" s="33" t="str">
        <x:v>MINARM / DGA / DO / S2A / PROD / DA-BA - Division achats - Toulouse/Balma</x:v>
      </x:c>
      <x:c r="C931" s="33" t="str">
        <x:v>DATAPAQ LIMITED</x:v>
      </x:c>
      <x:c r="D931" s="33" t="str">
        <x:v>Fourniture de matériels de mesure pour DGA Techniques aéronautiques. - Contrat décomposé en 6 lots. - CENTRALE D'ACQUISITION TEMPERATURE AUTONOME</x:v>
      </x:c>
      <x:c r="E931" s="33" t="str">
        <x:v>Matériel de mesure et de contrôle.</x:v>
      </x:c>
      <x:c r="F931" s="36" t="n">
        <x:v>11153</x:v>
      </x:c>
      <x:c r="G931" s="38" t="n">
        <x:v>43440</x:v>
      </x:c>
      <x:c r="H931" s="38" t="n">
        <x:v>43440</x:v>
      </x:c>
      <x:c r="I931" s="40" t="n">
        <x:v>2</x:v>
      </x:c>
      <x:c r="J931" s="33" t="str">
        <x:v>Marché</x:v>
      </x:c>
      <x:c r="K931" s="33" t="str"/>
      <x:c r="L931" s="33" t="str">
        <x:v>Ferme</x:v>
      </x:c>
      <x:c r="M931" s="33" t="str">
        <x:v>(31) Haute-Garonne</x:v>
      </x:c>
      <x:c r="N931" s="33" t="str">
        <x:v>Oui</x:v>
      </x:c>
      <x:c r="O931" s="33" t="str">
        <x:v>data.gouv.fr_aife</x:v>
      </x:c>
      <x:c r="P931" s="33" t="str">
        <x:v>2018150915794200</x:v>
      </x:c>
    </x:row>
    <x:row r="932">
      <x:c r="A932" s="33" t="str">
        <x:v>2018150915798100</x:v>
      </x:c>
      <x:c r="B932" s="33" t="str">
        <x:v>MINARM / DGA / DO / S2A / PROD / DA-BA - Division achats - Toulouse/Balma</x:v>
      </x:c>
      <x:c r="C932" s="33" t="str">
        <x:v>SERV'INSTRUMENTATION</x:v>
      </x:c>
      <x:c r="D932" s="33" t="str">
        <x:v>Fourniture de matériels de mesure pour DGA Techniques aéronautiques. - Contrat décomposé en 6 lots. - CAPTEURS DE PRESSION ABSOLUE DE HAUTE PRECISION</x:v>
      </x:c>
      <x:c r="E932" s="33" t="str">
        <x:v>Matériel de mesure et de contrôle.</x:v>
      </x:c>
      <x:c r="F932" s="36" t="n">
        <x:v>4460</x:v>
      </x:c>
      <x:c r="G932" s="38" t="n">
        <x:v>43440</x:v>
      </x:c>
      <x:c r="H932" s="38" t="n">
        <x:v>43440</x:v>
      </x:c>
      <x:c r="I932" s="40" t="n">
        <x:v>2</x:v>
      </x:c>
      <x:c r="J932" s="33" t="str">
        <x:v>Marché</x:v>
      </x:c>
      <x:c r="K932" s="33" t="str"/>
      <x:c r="L932" s="33" t="str">
        <x:v>Ferme</x:v>
      </x:c>
      <x:c r="M932" s="33" t="str">
        <x:v>(31) Haute-Garonne</x:v>
      </x:c>
      <x:c r="N932" s="33" t="str">
        <x:v>Oui</x:v>
      </x:c>
      <x:c r="O932" s="33" t="str">
        <x:v>data.gouv.fr_aife</x:v>
      </x:c>
      <x:c r="P932" s="33" t="str">
        <x:v>2018150915798100</x:v>
      </x:c>
    </x:row>
    <x:row r="933">
      <x:c r="A933" s="33" t="str">
        <x:v>2018150914769000</x:v>
      </x:c>
      <x:c r="B933" s="33" t="str">
        <x:v>MINARM / SSF / DSSF Brest - Direction du service de soutien de la flotte de Brest - DSSF Brest</x:v>
      </x:c>
      <x:c r="C933" s="33" t="str">
        <x:v>LOGNAV-CM</x:v>
      </x:c>
      <x:c r="D933" s="33" t="str">
        <x:v>Fourniture de matériels d’étanchéité et de quincaillerie de divers types et de diverses marques ou équivalents pour les unités de la marine nationale.</x:v>
      </x:c>
      <x:c r="E933" s="33" t="str">
        <x:v>Pièces pour navires de guerre.</x:v>
      </x:c>
      <x:c r="F933" s="36" t="n">
        <x:v>3726</x:v>
      </x:c>
      <x:c r="G933" s="38" t="n">
        <x:v>43440</x:v>
      </x:c>
      <x:c r="H933" s="38" t="n">
        <x:v>43440</x:v>
      </x:c>
      <x:c r="I933" s="40" t="n">
        <x:v>1</x:v>
      </x:c>
      <x:c r="J933" s="33" t="str">
        <x:v>Marché</x:v>
      </x:c>
      <x:c r="K933" s="33" t="str">
        <x:v>Procédure adaptée</x:v>
      </x:c>
      <x:c r="L933" s="33" t="str">
        <x:v>Ferme</x:v>
      </x:c>
      <x:c r="M933" s="33" t="str">
        <x:v>(29) Finistère</x:v>
      </x:c>
      <x:c r="N933" s="33" t="str">
        <x:v>Oui</x:v>
      </x:c>
      <x:c r="O933" s="33" t="str">
        <x:v>data.gouv.fr_aife</x:v>
      </x:c>
      <x:c r="P933" s="33" t="str">
        <x:v>2018150914769000</x:v>
      </x:c>
    </x:row>
    <x:row r="934">
      <x:c r="A934" s="33" t="str">
        <x:v>2018100013251400</x:v>
      </x:c>
      <x:c r="B934" s="33" t="str">
        <x:v>MINARM / SSF / DSSF Toulon - Direction du service de soutien de la flotte de Toulon - DSSF Toulon</x:v>
      </x:c>
      <x:c r="C934" s="33" t="str">
        <x:v>LOGNAV-CM</x:v>
      </x:c>
      <x:c r="D934" s="33" t="str">
        <x:v>Accord cadre N° 2016M16T20015 relatif à l’approvisionnement de fourniture de matériels de mesure et de contrôle nécessaires au maintien en condition opérationnelle (MCO) des Eléments de Force Maritime (EFM) et des Eléments de Force Armées (EFA)</x:v>
      </x:c>
      <x:c r="E934" s="33" t="str">
        <x:v>Pièces pour navires de guerre.</x:v>
      </x:c>
      <x:c r="F934" s="36" t="n">
        <x:v>6348</x:v>
      </x:c>
      <x:c r="G934" s="38" t="n">
        <x:v>43440</x:v>
      </x:c>
      <x:c r="H934" s="38" t="n">
        <x:v>43440</x:v>
      </x:c>
      <x:c r="I934" s="40" t="n">
        <x:v>2</x:v>
      </x:c>
      <x:c r="J934" s="33" t="str">
        <x:v>Marché subséquent</x:v>
      </x:c>
      <x:c r="K934" s="33" t="str">
        <x:v>Appel d'offres ouvert</x:v>
      </x:c>
      <x:c r="L934" s="33" t="str">
        <x:v>Ferme et actualisable</x:v>
      </x:c>
      <x:c r="M934" s="33" t="str">
        <x:v>(83) Var</x:v>
      </x:c>
      <x:c r="N934" s="33" t="str">
        <x:v>Oui</x:v>
      </x:c>
      <x:c r="O934" s="33" t="str">
        <x:v>data.gouv.fr_aife</x:v>
      </x:c>
      <x:c r="P934" s="33" t="str">
        <x:v>2018100013251400</x:v>
      </x:c>
    </x:row>
    <x:row r="935">
      <x:c r="A935" s="33" t="str">
        <x:v>2018100013231100</x:v>
      </x:c>
      <x:c r="B935" s="33" t="str">
        <x:v>MINARM / DIRISI - Direction Interarmées des Réseaux d'Infrastructure et des Systèmes d'Information de la défense</x:v>
      </x:c>
      <x:c r="C935" s="33" t="str">
        <x:v>IRTS</x:v>
      </x:c>
      <x:c r="D935" s="33" t="str">
        <x:v>Acquisition et MCO de murs d'images au profit du ministère de la défense. - Lot 1 - Acquisition de murs d'images &gt; et prestations associées</x:v>
      </x:c>
      <x:c r="E935" s="33" t="str">
        <x:v>Équipement audiovisuel.</x:v>
      </x:c>
      <x:c r="F935" s="36" t="n">
        <x:v>747335</x:v>
      </x:c>
      <x:c r="G935" s="38" t="n">
        <x:v>43440</x:v>
      </x:c>
      <x:c r="H935" s="38" t="n">
        <x:v>43440</x:v>
      </x:c>
      <x:c r="I935" s="40" t="n">
        <x:v>52</x:v>
      </x:c>
      <x:c r="J935" s="33" t="str">
        <x:v>Marché subséquent</x:v>
      </x:c>
      <x:c r="K935" s="33" t="str">
        <x:v>Appel d'offres ouvert</x:v>
      </x:c>
      <x:c r="L935" s="33" t="str">
        <x:v>Ferme et actualisable</x:v>
      </x:c>
      <x:c r="M935" s="33" t="str">
        <x:v>(92) Hauts-de-Seine</x:v>
      </x:c>
      <x:c r="N935" s="33" t="str">
        <x:v>Oui</x:v>
      </x:c>
      <x:c r="O935" s="33" t="str">
        <x:v>data.gouv.fr_aife</x:v>
      </x:c>
      <x:c r="P935" s="33" t="str">
        <x:v>2018100013231100</x:v>
      </x:c>
    </x:row>
    <x:row r="936">
      <x:c r="A936" s="33" t="str">
        <x:v>2018130014207500</x:v>
      </x:c>
      <x:c r="B936" s="33" t="str">
        <x:v>MINARM / SSA / DAPSA - Direction des Approvisionnements en produits de santé des armées</x:v>
      </x:c>
      <x:c r="C936" s="33" t="str">
        <x:v>RADIOMETER SAS</x:v>
      </x:c>
      <x:c r="D936" s="33" t="str">
        <x:v>Fourniture de réactifs et consommables captifs des automates de marque RADIOMETER (RESAH/MN CAPTI 2018)</x:v>
      </x:c>
      <x:c r="E936" s="33" t="str">
        <x:v>Réactifs de laboratoire.</x:v>
      </x:c>
      <x:c r="F936" s="36" t="n">
        <x:v>60000</x:v>
      </x:c>
      <x:c r="G936" s="38" t="n">
        <x:v>43440</x:v>
      </x:c>
      <x:c r="H936" s="38" t="n">
        <x:v>43440</x:v>
      </x:c>
      <x:c r="I936" s="40" t="n">
        <x:v>48</x:v>
      </x:c>
      <x:c r="J936" s="33" t="str">
        <x:v>Accord-cadre</x:v>
      </x:c>
      <x:c r="K936" s="33" t="str">
        <x:v>Procédure avec négociation</x:v>
      </x:c>
      <x:c r="L936" s="33" t="str">
        <x:v>Révisable</x:v>
      </x:c>
      <x:c r="M936" s="33" t="str">
        <x:v>(91) Essonne</x:v>
      </x:c>
      <x:c r="N936" s="33" t="str">
        <x:v>Oui</x:v>
      </x:c>
      <x:c r="O936" s="33" t="str">
        <x:v>data.gouv.fr_aife</x:v>
      </x:c>
      <x:c r="P936" s="33" t="str">
        <x:v>2018130014207500</x:v>
      </x:c>
    </x:row>
    <x:row r="937">
      <x:c r="A937" s="33" t="str">
        <x:v>2018130013935600</x:v>
      </x:c>
      <x:c r="B937" s="33" t="str">
        <x:v>MINARM / SGA / SID / ESID Bordeaux - Etablissement du service d'infrastructure de la défense de Bordeaux - ESID Bordeaux</x:v>
      </x:c>
      <x:c r="C937" s="33" t="str">
        <x:v>FAUCHE AUTOMATION AQUITAINE</x:v>
      </x:c>
      <x:c r="D937" s="33" t="str">
        <x:v>Cazaux (33) - Accord-cadre à bons de commande relatif à la maintenance préventive et corrective d'équipements industriels et installations techniques diverses (ETI) - Maintenance des équipements techniques industriels (ETI)</x:v>
      </x:c>
      <x:c r="E937" s="33" t="str">
        <x:v>Portes coulissantes.</x:v>
      </x:c>
      <x:c r="F937" s="36" t="n">
        <x:v>1</x:v>
      </x:c>
      <x:c r="G937" s="38" t="n">
        <x:v>43441</x:v>
      </x:c>
      <x:c r="H937" s="38" t="n">
        <x:v>43441</x:v>
      </x:c>
      <x:c r="I937" s="40" t="n">
        <x:v>48</x:v>
      </x:c>
      <x:c r="J937" s="33" t="str">
        <x:v>Accord-cadre</x:v>
      </x:c>
      <x:c r="K937" s="33" t="str">
        <x:v>Appel d'offres ouvert</x:v>
      </x:c>
      <x:c r="L937" s="33" t="str">
        <x:v>Révisable</x:v>
      </x:c>
      <x:c r="M937" s="33" t="str">
        <x:v>(33) Gironde</x:v>
      </x:c>
      <x:c r="N937" s="33" t="str">
        <x:v>Oui</x:v>
      </x:c>
      <x:c r="O937" s="33" t="str">
        <x:v>data.gouv.fr_aife</x:v>
      </x:c>
      <x:c r="P937" s="33" t="str">
        <x:v>2018130013935600</x:v>
      </x:c>
    </x:row>
    <x:row r="938">
      <x:c r="A938" s="33" t="str">
        <x:v>2018130013944400</x:v>
      </x:c>
      <x:c r="B938" s="33" t="str">
        <x:v>MINARM / DIRISI / DIRISI Brest - Direction interarmées des réseaux d'infrastructure et des systèmes d'information - Brest</x:v>
      </x:c>
      <x:c r="C938" s="33" t="str">
        <x:v>ITNI</x:v>
      </x:c>
      <x:c r="D938" s="33" t="str">
        <x:v>Fourniture, installation, mise en service et maintenance dun système de contrôle daccès, de détection intrusion et de vidéosurveillance de la base aéronautique navale de Landivisiau</x:v>
      </x:c>
      <x:c r="E938" s="33" t="str">
        <x:v>Système de contrôle des accès.</x:v>
      </x:c>
      <x:c r="F938" s="36" t="n">
        <x:v>8268268</x:v>
      </x:c>
      <x:c r="G938" s="38" t="n">
        <x:v>43441</x:v>
      </x:c>
      <x:c r="H938" s="38" t="n">
        <x:v>43441</x:v>
      </x:c>
      <x:c r="I938" s="40" t="n">
        <x:v>84</x:v>
      </x:c>
      <x:c r="J938" s="33" t="str">
        <x:v>Marché subséquent</x:v>
      </x:c>
      <x:c r="K938" s="33" t="str"/>
      <x:c r="L938" s="33" t="str">
        <x:v>Révisable</x:v>
      </x:c>
      <x:c r="M938" s="33" t="str">
        <x:v>(29) Finistère</x:v>
      </x:c>
      <x:c r="N938" s="33" t="str">
        <x:v>Oui</x:v>
      </x:c>
      <x:c r="O938" s="33" t="str">
        <x:v>data.gouv.fr_aife</x:v>
      </x:c>
      <x:c r="P938" s="33" t="str">
        <x:v>2018130013944400</x:v>
      </x:c>
    </x:row>
    <x:row r="939">
      <x:c r="A939" s="33" t="str">
        <x:v>2018170009035700</x:v>
      </x:c>
      <x:c r="B939" s="33" t="str">
        <x:v>MINARM / SCA / PFC Ouest - Plate-forme commissariat Ouest (Rennes)</x:v>
      </x:c>
      <x:c r="C939" s="33" t="str">
        <x:v>CHAMBRE DE METIERS ET DE L'ARTISANAT DE REGION PROVENCE-ALPES-COTE D'AZUR</x:v>
      </x:c>
      <x:c r="D939" s="33" t="str">
        <x:v>Réalisation de stages de manipulateur mouleur de matières plastiques au profit du Pôle Ecoles Méditerranée (PEM) de Saint-Mandrier</x:v>
      </x:c>
      <x:c r="E939" s="33" t="str">
        <x:v>Services de formation industrielle et technique.</x:v>
      </x:c>
      <x:c r="F939" s="36" t="n">
        <x:v>100000</x:v>
      </x:c>
      <x:c r="G939" s="38" t="n">
        <x:v>43441</x:v>
      </x:c>
      <x:c r="H939" s="38" t="n">
        <x:v>43441</x:v>
      </x:c>
      <x:c r="I939" s="40" t="n">
        <x:v>48</x:v>
      </x:c>
      <x:c r="J939" s="33" t="str">
        <x:v>Marché</x:v>
      </x:c>
      <x:c r="K939" s="33" t="str">
        <x:v>Procédure adaptée</x:v>
      </x:c>
      <x:c r="L939" s="33" t="str">
        <x:v>Révisable</x:v>
      </x:c>
      <x:c r="M939" s="33" t="str">
        <x:v>(83) Var</x:v>
      </x:c>
      <x:c r="N939" s="33" t="str">
        <x:v>Oui</x:v>
      </x:c>
      <x:c r="O939" s="33" t="str">
        <x:v>data.gouv.fr_aife</x:v>
      </x:c>
      <x:c r="P939" s="33" t="str">
        <x:v>2018170009035700</x:v>
      </x:c>
    </x:row>
    <x:row r="940">
      <x:c r="A940" s="33" t="str">
        <x:v>2018100013252500</x:v>
      </x:c>
      <x:c r="B940" s="33" t="str">
        <x:v>MINARM / DMAé - Direction de la maintenance aéronautique</x:v>
      </x:c>
      <x:c r="C940" s="33" t="str">
        <x:v>THALES LAS FRANCE SAS</x:v>
      </x:c>
      <x:c r="D940" s="33" t="str">
        <x:v>Fourniture d'un lot de pièces de rechange pour les jumelles de vision nocturne (JVN) et dispositifs de vision nocturne (DVN)</x:v>
      </x:c>
      <x:c r="E940" s="33" t="str">
        <x:v>Pièces de rechange structurelles et mécaniques pour équipement aérospatial militaire.</x:v>
      </x:c>
      <x:c r="F940" s="36" t="n">
        <x:v>304822</x:v>
      </x:c>
      <x:c r="G940" s="38" t="n">
        <x:v>43441</x:v>
      </x:c>
      <x:c r="H940" s="38" t="n">
        <x:v>43441</x:v>
      </x:c>
      <x:c r="I940" s="40" t="n">
        <x:v>8</x:v>
      </x:c>
      <x:c r="J940" s="33" t="str">
        <x:v>Marché</x:v>
      </x:c>
      <x:c r="K940" s="33" t="str"/>
      <x:c r="L940" s="33" t="str">
        <x:v>Ferme et actualisable</x:v>
      </x:c>
      <x:c r="M940" s="33" t="str">
        <x:v>(22) Côtes-d'Armor</x:v>
      </x:c>
      <x:c r="N940" s="33" t="str">
        <x:v>Oui</x:v>
      </x:c>
      <x:c r="O940" s="33" t="str">
        <x:v>data.gouv.fr_aife</x:v>
      </x:c>
      <x:c r="P940" s="33" t="str">
        <x:v>2018100013252500</x:v>
      </x:c>
    </x:row>
    <x:row r="941">
      <x:c r="A941" s="33" t="str">
        <x:v>2018100013236900</x:v>
      </x:c>
      <x:c r="B941" s="33" t="str">
        <x:v>MINARM / DIRISI - Direction Interarmées des Réseaux d'Infrastructure et des Systèmes d'Information de la défense</x:v>
      </x:c>
      <x:c r="C941" s="33" t="str">
        <x:v>ELEXO</x:v>
      </x:c>
      <x:c r="D941" s="33" t="str">
        <x:v>MS relatif aux modalités d'acquisition de solutions techniques optimisées aux contraintes (MASTOC 2)</x:v>
      </x:c>
      <x:c r="E941" s="33" t="str">
        <x:v>Matériel informatique.</x:v>
      </x:c>
      <x:c r="F941" s="36" t="n">
        <x:v>183811</x:v>
      </x:c>
      <x:c r="G941" s="38" t="n">
        <x:v>43441</x:v>
      </x:c>
      <x:c r="H941" s="38" t="n">
        <x:v>43441</x:v>
      </x:c>
      <x:c r="I941" s="40" t="n">
        <x:v>14</x:v>
      </x:c>
      <x:c r="J941" s="33" t="str">
        <x:v>Marché subséquent</x:v>
      </x:c>
      <x:c r="K941" s="33" t="str"/>
      <x:c r="L941" s="33" t="str">
        <x:v>Ferme et actualisable</x:v>
      </x:c>
      <x:c r="M941" s="33" t="str">
        <x:v>(94) Val-de-Marne</x:v>
      </x:c>
      <x:c r="N941" s="33" t="str">
        <x:v>Oui</x:v>
      </x:c>
      <x:c r="O941" s="33" t="str">
        <x:v>data.gouv.fr_aife</x:v>
      </x:c>
      <x:c r="P941" s="33" t="str">
        <x:v>2018100013236900</x:v>
      </x:c>
    </x:row>
    <x:row r="942">
      <x:c r="A942" s="33" t="str">
        <x:v>2018130013959700</x:v>
      </x:c>
      <x:c r="B942" s="33" t="str">
        <x:v>MINARM / DGA / DO / S2A / PROD / DA-BA - Division achats - Toulouse/Balma</x:v>
      </x:c>
      <x:c r="C942" s="33" t="str">
        <x:v>TRESCAL</x:v>
      </x:c>
      <x:c r="D942" s="33" t="str">
        <x:v>Prestations de vérification métrologique et maintien en condition opérationnelle d'appareils de mesure de marque ANRITSU et ROHDE &amp; SCHWARZ. - 2 lots : - -appareils de mesure de marque ANRITSU - -appareils de mesure de marque ROHDE &amp; SCHWARZ - A...</x:v>
      </x:c>
      <x:c r="E942" s="33" t="str">
        <x:v>Services de réparation et d'entretien d'appareils de mesure.</x:v>
      </x:c>
      <x:c r="F942" s="36" t="n">
        <x:v>15000</x:v>
      </x:c>
      <x:c r="G942" s="38" t="n">
        <x:v>43441</x:v>
      </x:c>
      <x:c r="H942" s="38" t="n">
        <x:v>43441</x:v>
      </x:c>
      <x:c r="I942" s="40" t="n">
        <x:v>48</x:v>
      </x:c>
      <x:c r="J942" s="33" t="str">
        <x:v>Accord-cadre</x:v>
      </x:c>
      <x:c r="K942" s="33" t="str">
        <x:v>Procédure adaptée</x:v>
      </x:c>
      <x:c r="L942" s="33" t="str">
        <x:v>Révisable</x:v>
      </x:c>
      <x:c r="M942" s="33" t="str">
        <x:v>(31) Haute-Garonne</x:v>
      </x:c>
      <x:c r="N942" s="33" t="str">
        <x:v>Oui</x:v>
      </x:c>
      <x:c r="O942" s="33" t="str">
        <x:v>data.gouv.fr_aife</x:v>
      </x:c>
      <x:c r="P942" s="33" t="str">
        <x:v>2018130013959700</x:v>
      </x:c>
    </x:row>
    <x:row r="943">
      <x:c r="A943" s="33" t="str">
        <x:v>2018130013959800</x:v>
      </x:c>
      <x:c r="B943" s="33" t="str">
        <x:v>MINARM / DGA / DO / S2A / PROD / DA-BA - Division achats - Toulouse/Balma</x:v>
      </x:c>
      <x:c r="C943" s="33" t="str">
        <x:v>ROHDE &amp; SCHWARZ FRANCE SAS</x:v>
      </x:c>
      <x:c r="D943" s="33" t="str">
        <x:v>Prestations de vérification métrologique et maintien en condition opérationnelle d'appareils de mesure de marque ANRITSU et ROHDE &amp; SCHWARZ. - 2 lots : - -appareils de mesure de marque ANRITSU - -appareils de mesure de marque ROHDE &amp; SCHWARZ - A...</x:v>
      </x:c>
      <x:c r="E943" s="33" t="str">
        <x:v>Services de réparation et d'entretien d'appareils de mesure.</x:v>
      </x:c>
      <x:c r="F943" s="36" t="n">
        <x:v>65000</x:v>
      </x:c>
      <x:c r="G943" s="38" t="n">
        <x:v>43441</x:v>
      </x:c>
      <x:c r="H943" s="38" t="n">
        <x:v>43441</x:v>
      </x:c>
      <x:c r="I943" s="40" t="n">
        <x:v>48</x:v>
      </x:c>
      <x:c r="J943" s="33" t="str">
        <x:v>Accord-cadre</x:v>
      </x:c>
      <x:c r="K943" s="33" t="str">
        <x:v>Procédure adaptée</x:v>
      </x:c>
      <x:c r="L943" s="33" t="str">
        <x:v>Révisable</x:v>
      </x:c>
      <x:c r="M943" s="33" t="str">
        <x:v>(31) Haute-Garonne</x:v>
      </x:c>
      <x:c r="N943" s="33" t="str">
        <x:v>Oui</x:v>
      </x:c>
      <x:c r="O943" s="33" t="str">
        <x:v>data.gouv.fr_aife</x:v>
      </x:c>
      <x:c r="P943" s="33" t="str">
        <x:v>2018130013959800</x:v>
      </x:c>
    </x:row>
    <x:row r="944">
      <x:c r="A944" s="33" t="str">
        <x:v>2018150916439800</x:v>
      </x:c>
      <x:c r="B944" s="33" t="str">
        <x:v>MINARM / SSF / DSSF Brest - Direction du service de soutien de la flotte de Brest - DSSF Brest</x:v>
      </x:c>
      <x:c r="C944" s="33" t="str">
        <x:v>LE LITTORAL</x:v>
      </x:c>
      <x:c r="D944" s="33" t="str">
        <x:v>Approvisionnement de rechanges mécaniques de marques diverses ou équivalent au profit des bâtiments de la Marine Nationale</x:v>
      </x:c>
      <x:c r="E944" s="33" t="str">
        <x:v>Pièces de rechange pour coque et pièces mécaniques pour navires de guerre.</x:v>
      </x:c>
      <x:c r="F944" s="36" t="n">
        <x:v>3023</x:v>
      </x:c>
      <x:c r="G944" s="38" t="n">
        <x:v>43441</x:v>
      </x:c>
      <x:c r="H944" s="38" t="n">
        <x:v>43441</x:v>
      </x:c>
      <x:c r="I944" s="40" t="n">
        <x:v>1</x:v>
      </x:c>
      <x:c r="J944" s="33" t="str">
        <x:v>Marché</x:v>
      </x:c>
      <x:c r="K944" s="33" t="str">
        <x:v>Procédure adaptée</x:v>
      </x:c>
      <x:c r="L944" s="33" t="str">
        <x:v>Ferme</x:v>
      </x:c>
      <x:c r="M944" s="33" t="str">
        <x:v>(29) Finistère</x:v>
      </x:c>
      <x:c r="N944" s="33" t="str">
        <x:v>Oui</x:v>
      </x:c>
      <x:c r="O944" s="33" t="str">
        <x:v>data.gouv.fr_aife</x:v>
      </x:c>
      <x:c r="P944" s="33" t="str">
        <x:v>2018150916439800</x:v>
      </x:c>
    </x:row>
    <x:row r="945">
      <x:c r="A945" s="33" t="str">
        <x:v>2018160005001000</x:v>
      </x:c>
      <x:c r="B945" s="33" t="str">
        <x:v>MINARM / SGA / SID / ESID Metz - Etablissement du service d'infrastructure de la défense de Metz - ESID Metz</x:v>
      </x:c>
      <x:c r="C945" s="33" t="str">
        <x:v>SCHNEIDER DANY</x:v>
      </x:c>
      <x:c r="D945" s="33" t="str">
        <x:v>SAINT-DIZIER (52) - BA 113 - Augmentation de la capacité en vestiaire au profit du cyno-groupe</x:v>
      </x:c>
      <x:c r="E945" s="33" t="str">
        <x:v>Travaux de réfection.</x:v>
      </x:c>
      <x:c r="F945" s="36" t="n">
        <x:v>88300</x:v>
      </x:c>
      <x:c r="G945" s="38" t="n">
        <x:v>43441</x:v>
      </x:c>
      <x:c r="H945" s="38" t="n">
        <x:v>43441</x:v>
      </x:c>
      <x:c r="I945" s="40" t="n">
        <x:v>5</x:v>
      </x:c>
      <x:c r="J945" s="33" t="str">
        <x:v>Marché</x:v>
      </x:c>
      <x:c r="K945" s="33" t="str">
        <x:v>Appel d'offres ouvert</x:v>
      </x:c>
      <x:c r="L945" s="33" t="str">
        <x:v>Ferme et actualisable</x:v>
      </x:c>
      <x:c r="M945" s="33" t="str">
        <x:v>(52) Haute-Marne</x:v>
      </x:c>
      <x:c r="N945" s="33" t="str">
        <x:v>Oui</x:v>
      </x:c>
      <x:c r="O945" s="33" t="str">
        <x:v>data.gouv.fr_aife</x:v>
      </x:c>
      <x:c r="P945" s="33" t="str">
        <x:v>2018160005001000</x:v>
      </x:c>
    </x:row>
    <x:row r="946">
      <x:c r="A946" s="33" t="str">
        <x:v>2018130014202900</x:v>
      </x:c>
      <x:c r="B946" s="33" t="str">
        <x:v>MINARM / SSA / DAPSA - Direction des Approvisionnements en produits de santé des armées</x:v>
      </x:c>
      <x:c r="C946" s="33" t="str">
        <x:v>CERBA</x:v>
      </x:c>
      <x:c r="D946" s="33" t="str">
        <x:v>Prestations d’externalisation des examens de biologie médicale au profit des laboratoires de biologie médicale (LBM) du SSA</x:v>
      </x:c>
      <x:c r="E946" s="33" t="str">
        <x:v>Services de laboratoire.</x:v>
      </x:c>
      <x:c r="F946" s="36" t="n">
        <x:v>3787</x:v>
      </x:c>
      <x:c r="G946" s="38" t="n">
        <x:v>43441</x:v>
      </x:c>
      <x:c r="H946" s="38" t="n">
        <x:v>43441</x:v>
      </x:c>
      <x:c r="I946" s="40" t="n">
        <x:v>48</x:v>
      </x:c>
      <x:c r="J946" s="33" t="str">
        <x:v>Accord-cadre</x:v>
      </x:c>
      <x:c r="K946" s="33" t="str">
        <x:v>Appel d'offres ouvert</x:v>
      </x:c>
      <x:c r="L946" s="33" t="str">
        <x:v>Révisable</x:v>
      </x:c>
      <x:c r="M946" s="33" t="str">
        <x:v>(92) Hauts-de-Seine</x:v>
      </x:c>
      <x:c r="N946" s="33" t="str">
        <x:v>Oui</x:v>
      </x:c>
      <x:c r="O946" s="33" t="str">
        <x:v>data.gouv.fr_aife</x:v>
      </x:c>
      <x:c r="P946" s="33" t="str">
        <x:v>2018130014202900</x:v>
      </x:c>
    </x:row>
    <x:row r="947">
      <x:c r="A947" s="33" t="str">
        <x:v>2018130013960800</x:v>
      </x:c>
      <x:c r="B947" s="33" t="str">
        <x:v>MINARM / DIRISI / DIRISI Brest - Direction interarmées des réseaux d'infrastructure et des systèmes d'information - Brest</x:v>
      </x:c>
      <x:c r="C947" s="33" t="str">
        <x:v>THALES SIX GTS FRANCE SAS</x:v>
      </x:c>
      <x:c r="D947" s="33" t="str">
        <x:v>Étude, fourniture, mise en œuvre, configuration, maintien en condition opérationnelle et évolution de systèmes de protection d'accès et de sécurisation pour la base aérienne 942 "Jean Robert" et ses sites isolés</x:v>
      </x:c>
      <x:c r="E947" s="33" t="str">
        <x:v>Système de contrôle des accès.</x:v>
      </x:c>
      <x:c r="F947" s="36" t="n">
        <x:v>10379480</x:v>
      </x:c>
      <x:c r="G947" s="38" t="n">
        <x:v>43441</x:v>
      </x:c>
      <x:c r="H947" s="38" t="n">
        <x:v>43441</x:v>
      </x:c>
      <x:c r="I947" s="40" t="n">
        <x:v>60</x:v>
      </x:c>
      <x:c r="J947" s="33" t="str">
        <x:v>Marché subséquent</x:v>
      </x:c>
      <x:c r="K947" s="33" t="str">
        <x:v>Appel d'offres ouvert</x:v>
      </x:c>
      <x:c r="L947" s="33" t="str">
        <x:v>Révisable</x:v>
      </x:c>
      <x:c r="M947" s="33" t="str">
        <x:v>(69) Rhône</x:v>
      </x:c>
      <x:c r="N947" s="33" t="str">
        <x:v>Oui</x:v>
      </x:c>
      <x:c r="O947" s="33" t="str">
        <x:v>data.gouv.fr_aife</x:v>
      </x:c>
      <x:c r="P947" s="33" t="str">
        <x:v>2018130013960800</x:v>
      </x:c>
    </x:row>
    <x:row r="948">
      <x:c r="A948" s="33" t="str">
        <x:v>2018150908705600</x:v>
      </x:c>
      <x:c r="B948" s="33" t="str">
        <x:v>MINARM / SSF / DSSF Toulon - Direction du service de soutien de la flotte de Toulon - DSSF Toulon</x:v>
      </x:c>
      <x:c r="C948" s="33" t="str">
        <x:v>LOGNAV-CM</x:v>
      </x:c>
      <x:c r="D948" s="33" t="str">
        <x:v>MAPA N° S18T40051 relatif à la fourniture de pièces détachées de marque MECANOREM ou équivalent pour remorques routières. -</x:v>
      </x:c>
      <x:c r="E948" s="33" t="str">
        <x:v>Pièces pour navires de guerre.</x:v>
      </x:c>
      <x:c r="F948" s="36" t="n">
        <x:v>6566</x:v>
      </x:c>
      <x:c r="G948" s="38" t="n">
        <x:v>43441</x:v>
      </x:c>
      <x:c r="H948" s="38" t="n">
        <x:v>43441</x:v>
      </x:c>
      <x:c r="I948" s="40" t="n">
        <x:v>2</x:v>
      </x:c>
      <x:c r="J948" s="33" t="str">
        <x:v>Marché</x:v>
      </x:c>
      <x:c r="K948" s="33" t="str">
        <x:v>Appel d'offres ouvert</x:v>
      </x:c>
      <x:c r="L948" s="33" t="str">
        <x:v>Ferme et actualisable</x:v>
      </x:c>
      <x:c r="M948" s="33" t="str">
        <x:v>(51) Marne</x:v>
      </x:c>
      <x:c r="N948" s="33" t="str">
        <x:v>Oui</x:v>
      </x:c>
      <x:c r="O948" s="33" t="str">
        <x:v>data.gouv.fr_aife</x:v>
      </x:c>
      <x:c r="P948" s="33" t="str">
        <x:v>2018150908705600</x:v>
      </x:c>
    </x:row>
    <x:row r="949">
      <x:c r="A949" s="33" t="str">
        <x:v>2018130013979100</x:v>
      </x:c>
      <x:c r="B949" s="33" t="str">
        <x:v>MINARM / SGA / SID - Service d'Infrastructure de la Défense - DCSID</x:v>
      </x:c>
      <x:c r="C949" s="33" t="str">
        <x:v>SARL H.2.0</x:v>
      </x:c>
      <x:c r="D949" s="33" t="str">
        <x:v>Accord cadre à BDC , pour l'exécution des travaux d'installation, d'entretien, et de maintenance des installations de traitement et de production d'eau partout dans le monde</x:v>
      </x:c>
      <x:c r="E949" s="33" t="str"/>
      <x:c r="F949" s="36" t="n">
        <x:v>3000000</x:v>
      </x:c>
      <x:c r="G949" s="38" t="n">
        <x:v>43442</x:v>
      </x:c>
      <x:c r="H949" s="38" t="n">
        <x:v>43442</x:v>
      </x:c>
      <x:c r="I949" s="40" t="n">
        <x:v>48</x:v>
      </x:c>
      <x:c r="J949" s="33" t="str">
        <x:v>Accord-cadre</x:v>
      </x:c>
      <x:c r="K949" s="33" t="str"/>
      <x:c r="L949" s="33" t="str">
        <x:v>Révisable</x:v>
      </x:c>
      <x:c r="M949" s="33" t="str">
        <x:v>AFGHANISTAN</x:v>
      </x:c>
      <x:c r="N949" s="33" t="str">
        <x:v>Oui</x:v>
      </x:c>
      <x:c r="O949" s="33" t="str">
        <x:v>data.gouv.fr_aife</x:v>
      </x:c>
      <x:c r="P949" s="33" t="str">
        <x:v>2018130013979100</x:v>
      </x:c>
    </x:row>
    <x:row r="950">
      <x:c r="A950" s="33" t="str">
        <x:v>2018170009057100</x:v>
      </x:c>
      <x:c r="B950" s="33" t="str">
        <x:v>MINARM / SGA / SID / ESID Toulon - Etablissement du service d'infrastructure de la défense de Toulon - ESID Toulon</x:v>
      </x:c>
      <x:c r="C950" s="33" t="str">
        <x:v>MSIT</x:v>
      </x:c>
      <x:c r="D950" s="33" t="str">
        <x:v>USID Saint-Mandrier –Marché d’entretien préventif et correctif des portes, portails et équipements connexes</x:v>
      </x:c>
      <x:c r="E950" s="33" t="str">
        <x:v>Portes.</x:v>
      </x:c>
      <x:c r="F950" s="36" t="n">
        <x:v>80000</x:v>
      </x:c>
      <x:c r="G950" s="38" t="n">
        <x:v>43442</x:v>
      </x:c>
      <x:c r="H950" s="38" t="n">
        <x:v>43442</x:v>
      </x:c>
      <x:c r="I950" s="40" t="n">
        <x:v>12</x:v>
      </x:c>
      <x:c r="J950" s="33" t="str">
        <x:v>Accord-cadre</x:v>
      </x:c>
      <x:c r="K950" s="33" t="str">
        <x:v>Procédure adaptée</x:v>
      </x:c>
      <x:c r="L950" s="33" t="str">
        <x:v>Ferme</x:v>
      </x:c>
      <x:c r="M950" s="33" t="str">
        <x:v>(83) Var</x:v>
      </x:c>
      <x:c r="N950" s="33" t="str">
        <x:v>Oui</x:v>
      </x:c>
      <x:c r="O950" s="33" t="str">
        <x:v>data.gouv.fr_aife</x:v>
      </x:c>
      <x:c r="P950" s="33" t="str">
        <x:v>2018170009057100</x:v>
      </x:c>
    </x:row>
    <x:row r="951">
      <x:c r="A951" s="33" t="str">
        <x:v>2018170009042800</x:v>
      </x:c>
      <x:c r="B951" s="33" t="str">
        <x:v>MINARM / SCA / PFC Sud-Est - Plate-forme commissariat Sud-Est (Lyon)</x:v>
      </x:c>
      <x:c r="C951" s="33" t="str">
        <x:v>ABER PROPRETE AZUR</x:v>
      </x:c>
      <x:c r="D951" s="33" t="str">
        <x:v>Prestations de nettoyage écologique de véhicules au profit du Groupement de Soutien de Base de Défense (GSBdD) de Lyon Mont-Verdun ( LNM) (69)</x:v>
      </x:c>
      <x:c r="E951" s="33" t="str">
        <x:v>Services de lavage de voitures et services similaires.</x:v>
      </x:c>
      <x:c r="F951" s="36" t="n">
        <x:v>15000</x:v>
      </x:c>
      <x:c r="G951" s="38" t="n">
        <x:v>43444</x:v>
      </x:c>
      <x:c r="H951" s="38" t="n">
        <x:v>43444</x:v>
      </x:c>
      <x:c r="I951" s="40" t="n">
        <x:v>47</x:v>
      </x:c>
      <x:c r="J951" s="33" t="str">
        <x:v>Accord-cadre</x:v>
      </x:c>
      <x:c r="K951" s="33" t="str">
        <x:v>Procédure adaptée</x:v>
      </x:c>
      <x:c r="L951" s="33" t="str">
        <x:v>Révisable</x:v>
      </x:c>
      <x:c r="M951" s="33" t="str">
        <x:v>(69) Rhône</x:v>
      </x:c>
      <x:c r="N951" s="33" t="str">
        <x:v>Oui</x:v>
      </x:c>
      <x:c r="O951" s="33" t="str">
        <x:v>data.gouv.fr_aife</x:v>
      </x:c>
      <x:c r="P951" s="33" t="str">
        <x:v>2018170009042800</x:v>
      </x:c>
    </x:row>
    <x:row r="952">
      <x:c r="A952" s="33" t="str">
        <x:v>2018170009038200</x:v>
      </x:c>
      <x:c r="B952" s="33" t="str">
        <x:v>MINARM / SCA / PFC Ouest - Plate-forme commissariat Ouest (Rennes)</x:v>
      </x:c>
      <x:c r="C952" s="33" t="str">
        <x:v>UNIVERSITE DE TOULON</x:v>
      </x:c>
      <x:c r="D952" s="33" t="str">
        <x:v>Participation à la licence 3 "Science pour Ingénieur" parcours "Electronique, Electrotechnique et Automatique" et licence professionnelle "Administrations et Sécurité des Réseaux" au profit du Pôle Ecole Méditerranée de Saint-Mandrier - Cours exte</x:v>
      </x:c>
      <x:c r="E952" s="33" t="str">
        <x:v>Services d'enseignement de niveau universitaire pour adultes.</x:v>
      </x:c>
      <x:c r="F952" s="36" t="n">
        <x:v>42496</x:v>
      </x:c>
      <x:c r="G952" s="38" t="n">
        <x:v>43444</x:v>
      </x:c>
      <x:c r="H952" s="38" t="n">
        <x:v>43444</x:v>
      </x:c>
      <x:c r="I952" s="40" t="n">
        <x:v>48</x:v>
      </x:c>
      <x:c r="J952" s="33" t="str">
        <x:v>Accord-cadre</x:v>
      </x:c>
      <x:c r="K952" s="33" t="str">
        <x:v>Procédure adaptée</x:v>
      </x:c>
      <x:c r="L952" s="33" t="str">
        <x:v>Révisable</x:v>
      </x:c>
      <x:c r="M952" s="33" t="str">
        <x:v>(83) Var</x:v>
      </x:c>
      <x:c r="N952" s="33" t="str">
        <x:v>Oui</x:v>
      </x:c>
      <x:c r="O952" s="33" t="str">
        <x:v>data.gouv.fr_aife</x:v>
      </x:c>
      <x:c r="P952" s="33" t="str">
        <x:v>2018170009038200</x:v>
      </x:c>
    </x:row>
    <x:row r="953">
      <x:c r="A953" s="33" t="str">
        <x:v>20182018F4111500</x:v>
      </x:c>
      <x:c r="B953" s="33" t="str">
        <x:v>MINARM / SIAé / AIA Ambérieu - Atelier Industriel de l'Aéronautique d'Ambérieu en Bugey - AIA Ambérieu</x:v>
      </x:c>
      <x:c r="C953" s="33" t="str">
        <x:v>AART ELECTRONICS</x:v>
      </x:c>
      <x:c r="D953" s="33" t="str">
        <x:v>15042 -Lot 1 24ème mise en concurrence Accord cadre pour la fourniture de rechanges non spécifiques à usage aéronautique pour les ateliers industriels de l'aéronautique d'Ambérieu en Bugey, de Bordeaux, de Bretagne, de Clermont-Ferrand et de Cuers P</x:v>
      </x:c>
      <x:c r="E953" s="33" t="str">
        <x:v>Fournitures et accessoires électriques.</x:v>
      </x:c>
      <x:c r="F953" s="36" t="n">
        <x:v>4430</x:v>
      </x:c>
      <x:c r="G953" s="38" t="n">
        <x:v>43444</x:v>
      </x:c>
      <x:c r="H953" s="38" t="n">
        <x:v>43444</x:v>
      </x:c>
      <x:c r="I953" s="40" t="n">
        <x:v>3</x:v>
      </x:c>
      <x:c r="J953" s="33" t="str">
        <x:v>Marché subséquent</x:v>
      </x:c>
      <x:c r="K953" s="33" t="str"/>
      <x:c r="L953" s="33" t="str">
        <x:v>Ferme</x:v>
      </x:c>
      <x:c r="M953" s="33" t="str">
        <x:v>(01) Ain</x:v>
      </x:c>
      <x:c r="N953" s="33" t="str">
        <x:v>Oui</x:v>
      </x:c>
      <x:c r="O953" s="33" t="str">
        <x:v>data.gouv.fr_aife</x:v>
      </x:c>
      <x:c r="P953" s="33" t="str">
        <x:v>20182018F4111500</x:v>
      </x:c>
    </x:row>
    <x:row r="954">
      <x:c r="A954" s="33" t="str">
        <x:v>2018150915482300</x:v>
      </x:c>
      <x:c r="B954" s="33" t="str">
        <x:v>MINARM / SGA / SID / ESID Metz - Etablissement du service d'infrastructure de la défense de Metz - ESID Metz</x:v>
      </x:c>
      <x:c r="C954" s="33" t="str">
        <x:v>EFFICIENCE-AEROPORT</x:v>
      </x:c>
      <x:c r="D954" s="33" t="str">
        <x:v>ROUVRES EN WOEVRE (55) Base Ltn Etienne Mantoux - Maintien en condition opérationnelle de l'éclairage et du balisage de la plateforme aéronautique</x:v>
      </x:c>
      <x:c r="E954" s="33" t="str">
        <x:v>Balisage et éclairage d'aérodrome.</x:v>
      </x:c>
      <x:c r="F954" s="36" t="n">
        <x:v>24992</x:v>
      </x:c>
      <x:c r="G954" s="38" t="n">
        <x:v>43444</x:v>
      </x:c>
      <x:c r="H954" s="38" t="n">
        <x:v>43444</x:v>
      </x:c>
      <x:c r="I954" s="40" t="n">
        <x:v>12</x:v>
      </x:c>
      <x:c r="J954" s="33" t="str">
        <x:v>Marché</x:v>
      </x:c>
      <x:c r="K954" s="33" t="str">
        <x:v>Appel d'offres ouvert</x:v>
      </x:c>
      <x:c r="L954" s="33" t="str">
        <x:v>Ferme</x:v>
      </x:c>
      <x:c r="M954" s="33" t="str">
        <x:v>(55) Meuse</x:v>
      </x:c>
      <x:c r="N954" s="33" t="str">
        <x:v>Oui</x:v>
      </x:c>
      <x:c r="O954" s="33" t="str">
        <x:v>data.gouv.fr_aife</x:v>
      </x:c>
      <x:c r="P954" s="33" t="str">
        <x:v>2018150915482300</x:v>
      </x:c>
    </x:row>
    <x:row r="955">
      <x:c r="A955" s="33" t="str">
        <x:v>2018180005213000</x:v>
      </x:c>
      <x:c r="B955" s="33" t="str">
        <x:v>MINARM / DIRISI / CNSO - Centre National de Soutien Opérationnel - C.N.S.O.</x:v>
      </x:c>
      <x:c r="C955" s="33" t="str">
        <x:v>MAINTENANCE SYSTEME</x:v>
      </x:c>
      <x:c r="D955" s="33" t="str">
        <x:v>Le présent marché a pour objet les maintenances préventive et corrective de quatre stockeurs rotatifs en place à la division technique du Centre National de Soutien Opérationnel d’Orléans (CNSO).</x:v>
      </x:c>
      <x:c r="E955" s="33" t="str">
        <x:v>Services de réparation et d'entretien.</x:v>
      </x:c>
      <x:c r="F955" s="36" t="n">
        <x:v>1560</x:v>
      </x:c>
      <x:c r="G955" s="38" t="n">
        <x:v>43444</x:v>
      </x:c>
      <x:c r="H955" s="38" t="n">
        <x:v>43444</x:v>
      </x:c>
      <x:c r="I955" s="40" t="n">
        <x:v>48</x:v>
      </x:c>
      <x:c r="J955" s="33" t="str">
        <x:v>Marché</x:v>
      </x:c>
      <x:c r="K955" s="33" t="str">
        <x:v>Procédure adaptée</x:v>
      </x:c>
      <x:c r="L955" s="33" t="str">
        <x:v>Révisable</x:v>
      </x:c>
      <x:c r="M955" s="33" t="str">
        <x:v>(45) Loiret</x:v>
      </x:c>
      <x:c r="N955" s="33" t="str">
        <x:v>Oui</x:v>
      </x:c>
      <x:c r="O955" s="33" t="str">
        <x:v>data.gouv.fr_aife</x:v>
      </x:c>
      <x:c r="P955" s="33" t="str">
        <x:v>2018180005213000</x:v>
      </x:c>
    </x:row>
    <x:row r="956">
      <x:c r="A956" s="33" t="str">
        <x:v>2018110004458100</x:v>
      </x:c>
      <x:c r="B956" s="33" t="str">
        <x:v>MINARM / SSF / DSSF Brest - Direction du service de soutien de la flotte de Brest - DSSF Brest</x:v>
      </x:c>
      <x:c r="C956" s="33" t="str">
        <x:v>SCHNEIDER ELECTRIC FRANCE</x:v>
      </x:c>
      <x:c r="D956" s="33" t="str">
        <x:v>Approvisionnement de disjoncteurs, de combinateurs et de fusibles de marque SCHNEIDER au profit des bâtiments de la Marine Nationale</x:v>
      </x:c>
      <x:c r="E956" s="33" t="str">
        <x:v>Pièces pour navires de guerre.</x:v>
      </x:c>
      <x:c r="F956" s="36" t="n">
        <x:v>2390000</x:v>
      </x:c>
      <x:c r="G956" s="38" t="n">
        <x:v>43444</x:v>
      </x:c>
      <x:c r="H956" s="38" t="n">
        <x:v>43444</x:v>
      </x:c>
      <x:c r="I956" s="40" t="n">
        <x:v>68</x:v>
      </x:c>
      <x:c r="J956" s="33" t="str">
        <x:v>Marché</x:v>
      </x:c>
      <x:c r="K956" s="33" t="str"/>
      <x:c r="L956" s="33" t="str">
        <x:v>Ferme et actualisable</x:v>
      </x:c>
      <x:c r="M956" s="33" t="str">
        <x:v>(29) Finistère</x:v>
      </x:c>
      <x:c r="N956" s="33" t="str">
        <x:v>Oui</x:v>
      </x:c>
      <x:c r="O956" s="33" t="str">
        <x:v>data.gouv.fr_aife</x:v>
      </x:c>
      <x:c r="P956" s="33" t="str">
        <x:v>2018110004458100</x:v>
      </x:c>
    </x:row>
    <x:row r="957">
      <x:c r="A957" s="33" t="str">
        <x:v>2018100013245100</x:v>
      </x:c>
      <x:c r="B957" s="33" t="str">
        <x:v>MINARM / SSF / DSSF Toulon - Direction du service de soutien de la flotte de Toulon - DSSF Toulon</x:v>
      </x:c>
      <x:c r="C957" s="33" t="str">
        <x:v>LE LITTORAL</x:v>
      </x:c>
      <x:c r="D957" s="33" t="str">
        <x:v>AC M15T20 025 relatif à la fourniture de matériels de robinetterie tels que vannes, soupapes, clapets, robinets, détendeurs, valves, raccords, coudes, tubes, tuyaux, colliers, brides, manchons, flexibles et accessoires associés pour les besoins néces</x:v>
      </x:c>
      <x:c r="E957" s="33" t="str">
        <x:v>Pièces pour navires de guerre.</x:v>
      </x:c>
      <x:c r="F957" s="36" t="n">
        <x:v>24793</x:v>
      </x:c>
      <x:c r="G957" s="38" t="n">
        <x:v>43444</x:v>
      </x:c>
      <x:c r="H957" s="38" t="n">
        <x:v>43444</x:v>
      </x:c>
      <x:c r="I957" s="40" t="n">
        <x:v>5</x:v>
      </x:c>
      <x:c r="J957" s="33" t="str">
        <x:v>Marché subséquent</x:v>
      </x:c>
      <x:c r="K957" s="33" t="str">
        <x:v>Appel d'offres ouvert</x:v>
      </x:c>
      <x:c r="L957" s="33" t="str">
        <x:v>Ferme et actualisable</x:v>
      </x:c>
      <x:c r="M957" s="33" t="str">
        <x:v>(83) Var</x:v>
      </x:c>
      <x:c r="N957" s="33" t="str">
        <x:v>Oui</x:v>
      </x:c>
      <x:c r="O957" s="33" t="str">
        <x:v>data.gouv.fr_aife</x:v>
      </x:c>
      <x:c r="P957" s="33" t="str">
        <x:v>2018100013245100</x:v>
      </x:c>
    </x:row>
    <x:row r="958">
      <x:c r="A958" s="33" t="str">
        <x:v>2018100013261000</x:v>
      </x:c>
      <x:c r="B958" s="33" t="str">
        <x:v>MINARM / SGA / SID / ESID Bordeaux - Etablissement du service d'infrastructure de la défense de Bordeaux - ESID Bordeaux</x:v>
      </x:c>
      <x:c r="C958" s="33" t="str">
        <x:v>ETANDEX</x:v>
      </x:c>
      <x:c r="D958" s="33" t="str">
        <x:v>(40) Mont de Marsan BA 118 Bâtiment PC4- Réfection de l'isolation thermique (verre cellulaire) en toiture et réfection de l'étanchéité de la toiture terrasse du PC4.</x:v>
      </x:c>
      <x:c r="E958" s="33" t="str">
        <x:v>Travaux d'isolation de toiture.</x:v>
      </x:c>
      <x:c r="F958" s="36" t="n">
        <x:v>213000</x:v>
      </x:c>
      <x:c r="G958" s="38" t="n">
        <x:v>43444</x:v>
      </x:c>
      <x:c r="H958" s="38" t="n">
        <x:v>43444</x:v>
      </x:c>
      <x:c r="I958" s="40" t="n">
        <x:v>6</x:v>
      </x:c>
      <x:c r="J958" s="33" t="str">
        <x:v>Marché</x:v>
      </x:c>
      <x:c r="K958" s="33" t="str">
        <x:v>Procédure adaptée</x:v>
      </x:c>
      <x:c r="L958" s="33" t="str">
        <x:v>Révisable</x:v>
      </x:c>
      <x:c r="M958" s="33" t="str">
        <x:v>(40) Landes</x:v>
      </x:c>
      <x:c r="N958" s="33" t="str">
        <x:v>Oui</x:v>
      </x:c>
      <x:c r="O958" s="33" t="str">
        <x:v>data.gouv.fr_aife</x:v>
      </x:c>
      <x:c r="P958" s="33" t="str">
        <x:v>2018100013261000</x:v>
      </x:c>
    </x:row>
    <x:row r="959">
      <x:c r="A959" s="33" t="str">
        <x:v>2018100013217400</x:v>
      </x:c>
      <x:c r="B959" s="33" t="str">
        <x:v>MINARM / SGA / SID / ESID Lyon - Etablissement du service d'infrastructure de la défense de Lyon - ESID Lyon</x:v>
      </x:c>
      <x:c r="C959" s="33" t="str">
        <x:v>SAGI</x:v>
      </x:c>
      <x:c r="D959" s="33" t="str">
        <x:v>La présente consultation a pour objet la conclusion d'un accord-cadre pour la fourniture et la livraison (déchargement y compris) de granulats synthétiques (éléments constituant les pièges à balles de buttes de tir) au profit des différents Etabli</x:v>
      </x:c>
      <x:c r="E959" s="33" t="str">
        <x:v>Services de transport (à l'exclusion du transport des déchets).</x:v>
      </x:c>
      <x:c r="F959" s="36" t="n">
        <x:v>9380</x:v>
      </x:c>
      <x:c r="G959" s="38" t="n">
        <x:v>43444</x:v>
      </x:c>
      <x:c r="H959" s="38" t="n">
        <x:v>43444</x:v>
      </x:c>
      <x:c r="I959" s="40" t="n">
        <x:v>1</x:v>
      </x:c>
      <x:c r="J959" s="33" t="str">
        <x:v>Marché subséquent</x:v>
      </x:c>
      <x:c r="K959" s="33" t="str">
        <x:v>Appel d'offres ouvert</x:v>
      </x:c>
      <x:c r="L959" s="33" t="str">
        <x:v>Ferme</x:v>
      </x:c>
      <x:c r="M959" s="33" t="str">
        <x:v>(05) Hautes-Alpes</x:v>
      </x:c>
      <x:c r="N959" s="33" t="str">
        <x:v>Oui</x:v>
      </x:c>
      <x:c r="O959" s="33" t="str">
        <x:v>data.gouv.fr_aife</x:v>
      </x:c>
      <x:c r="P959" s="33" t="str">
        <x:v>2018100013217400</x:v>
      </x:c>
    </x:row>
    <x:row r="960">
      <x:c r="A960" s="33" t="str">
        <x:v>2018160004996100</x:v>
      </x:c>
      <x:c r="B960" s="33" t="str">
        <x:v>MINARM / SGA / SID / ESID Lyon - Etablissement du service d'infrastructure de la défense de Lyon - ESID Lyon</x:v>
      </x:c>
      <x:c r="C960" s="33" t="str">
        <x:v>SOC PROTECTION INTEGRALE BATIMENT</x:v>
      </x:c>
      <x:c r="D960" s="33" t="str">
        <x:v>18IS036 - MARCHE 1 : Base de défense ISP - Remplacement des toitures tuiles et chéneaux zinc (ESID 18-268 ; COSI : 441640)</x:v>
      </x:c>
      <x:c r="E960" s="33" t="str">
        <x:v>Réparation de toiture.</x:v>
      </x:c>
      <x:c r="F960" s="36" t="n">
        <x:v>803927</x:v>
      </x:c>
      <x:c r="G960" s="38" t="n">
        <x:v>43444</x:v>
      </x:c>
      <x:c r="H960" s="38" t="n">
        <x:v>43444</x:v>
      </x:c>
      <x:c r="I960" s="40" t="n">
        <x:v>15</x:v>
      </x:c>
      <x:c r="J960" s="33" t="str">
        <x:v>Marché</x:v>
      </x:c>
      <x:c r="K960" s="33" t="str">
        <x:v>Procédure adaptée</x:v>
      </x:c>
      <x:c r="L960" s="33" t="str">
        <x:v>Révisable</x:v>
      </x:c>
      <x:c r="M960" s="33" t="str">
        <x:v>(13) Bouches-du-Rhône</x:v>
      </x:c>
      <x:c r="N960" s="33" t="str">
        <x:v>Oui</x:v>
      </x:c>
      <x:c r="O960" s="33" t="str">
        <x:v>data.gouv.fr_aife</x:v>
      </x:c>
      <x:c r="P960" s="33" t="str">
        <x:v>2018160004996100</x:v>
      </x:c>
    </x:row>
    <x:row r="961">
      <x:c r="A961" s="33" t="str">
        <x:v>20182018F0063400</x:v>
      </x:c>
      <x:c r="B961" s="33" t="str">
        <x:v>MINARM / ESTM / EPA / ISAE - Institut supérieur de l'aéronautique et de l'espace (ISAE)</x:v>
      </x:c>
      <x:c r="C961" s="33" t="str">
        <x:v>WAVETEL</x:v>
      </x:c>
      <x:c r="D961" s="33" t="str">
        <x:v>Fourniture d'un analyseur de signaux de communications optique au profit de l'ISAE-SUPAERO</x:v>
      </x:c>
      <x:c r="E961" s="33" t="str">
        <x:v>Instruments d'astronomie et d'optique.</x:v>
      </x:c>
      <x:c r="F961" s="36" t="n">
        <x:v>82500</x:v>
      </x:c>
      <x:c r="G961" s="38" t="n">
        <x:v>43444</x:v>
      </x:c>
      <x:c r="H961" s="38" t="n">
        <x:v>43444</x:v>
      </x:c>
      <x:c r="I961" s="40" t="n">
        <x:v>6</x:v>
      </x:c>
      <x:c r="J961" s="33" t="str">
        <x:v>Marché</x:v>
      </x:c>
      <x:c r="K961" s="33" t="str">
        <x:v>Appel d'offres ouvert</x:v>
      </x:c>
      <x:c r="L961" s="33" t="str">
        <x:v>Ferme</x:v>
      </x:c>
      <x:c r="M961" s="33" t="str">
        <x:v>(31) Haute-Garonne</x:v>
      </x:c>
      <x:c r="N961" s="33" t="str">
        <x:v>Oui</x:v>
      </x:c>
      <x:c r="O961" s="33" t="str">
        <x:v>data.gouv.fr_aife</x:v>
      </x:c>
      <x:c r="P961" s="33" t="str">
        <x:v>20182018F0063400</x:v>
      </x:c>
    </x:row>
    <x:row r="962">
      <x:c r="A962" s="33" t="str">
        <x:v>20182018F4111400</x:v>
      </x:c>
      <x:c r="B962" s="33" t="str">
        <x:v>MINARM / SIAé / AIA Ambérieu - Atelier Industriel de l'Aéronautique d'Ambérieu en Bugey - AIA Ambérieu</x:v>
      </x:c>
      <x:c r="C962" s="33" t="str">
        <x:v>A.LO.TECH</x:v>
      </x:c>
      <x:c r="D962" s="33" t="str">
        <x:v>Liste 5206-2018-2 : Fourniture d'équipements spécifiques de survie au profit de l'Atelier Industriel de l'Aéronautique d'Ambérieu en Bugey.</x:v>
      </x:c>
      <x:c r="E962" s="33" t="str">
        <x:v>Articles de quincaillerie.</x:v>
      </x:c>
      <x:c r="F962" s="36" t="n">
        <x:v>16171</x:v>
      </x:c>
      <x:c r="G962" s="38" t="n">
        <x:v>43444</x:v>
      </x:c>
      <x:c r="H962" s="38" t="n">
        <x:v>43444</x:v>
      </x:c>
      <x:c r="I962" s="40" t="n">
        <x:v>3</x:v>
      </x:c>
      <x:c r="J962" s="33" t="str">
        <x:v>Marché</x:v>
      </x:c>
      <x:c r="K962" s="33" t="str">
        <x:v>Procédure adaptée</x:v>
      </x:c>
      <x:c r="L962" s="33" t="str">
        <x:v>Ferme</x:v>
      </x:c>
      <x:c r="M962" s="33" t="str">
        <x:v>(01) Ain</x:v>
      </x:c>
      <x:c r="N962" s="33" t="str">
        <x:v>Oui</x:v>
      </x:c>
      <x:c r="O962" s="33" t="str">
        <x:v>data.gouv.fr_aife</x:v>
      </x:c>
      <x:c r="P962" s="33" t="str">
        <x:v>20182018F4111400</x:v>
      </x:c>
    </x:row>
    <x:row r="963">
      <x:c r="A963" s="33" t="str">
        <x:v>2018150914421100</x:v>
      </x:c>
      <x:c r="B963" s="33" t="str">
        <x:v>MINARM / SSF / DSSF Brest - Direction du service de soutien de la flotte de Brest - DSSF Brest</x:v>
      </x:c>
      <x:c r="C963" s="33" t="str">
        <x:v>DIFFUSION REPRES COMMERC TECHN</x:v>
      </x:c>
      <x:c r="D963" s="33" t="str">
        <x:v>Approvisionnement de divers rechanges électroniques de marques diverses ou équivalents au profit de bâtiments de la marine nationale.</x:v>
      </x:c>
      <x:c r="E963" s="33" t="str">
        <x:v>Pièces électroniques et électriques de rechange pour navires de guerre.</x:v>
      </x:c>
      <x:c r="F963" s="36" t="n">
        <x:v>2232</x:v>
      </x:c>
      <x:c r="G963" s="38" t="n">
        <x:v>43444</x:v>
      </x:c>
      <x:c r="H963" s="38" t="n">
        <x:v>43444</x:v>
      </x:c>
      <x:c r="I963" s="40" t="n">
        <x:v>2</x:v>
      </x:c>
      <x:c r="J963" s="33" t="str">
        <x:v>Marché</x:v>
      </x:c>
      <x:c r="K963" s="33" t="str">
        <x:v>Procédure adaptée</x:v>
      </x:c>
      <x:c r="L963" s="33" t="str">
        <x:v>Ferme</x:v>
      </x:c>
      <x:c r="M963" s="33" t="str">
        <x:v>(29) Finistère</x:v>
      </x:c>
      <x:c r="N963" s="33" t="str">
        <x:v>Oui</x:v>
      </x:c>
      <x:c r="O963" s="33" t="str">
        <x:v>data.gouv.fr_aife</x:v>
      </x:c>
      <x:c r="P963" s="33" t="str">
        <x:v>2018150914421100</x:v>
      </x:c>
    </x:row>
    <x:row r="964">
      <x:c r="A964" s="33" t="str">
        <x:v>2018100013212500</x:v>
      </x:c>
      <x:c r="B964" s="33" t="str">
        <x:v>MINARM / SGA / SID / ESID BREST - Etablissement du service d'infrastructure de la défense de BREST - ESID Brest</x:v>
      </x:c>
      <x:c r="C964" s="33" t="str">
        <x:v>PIGEON BRETAGNE SUD</x:v>
      </x:c>
      <x:c r="D964" s="33" t="str">
        <x:v>3162 - Marché subséquent en application de l'accord-cadre 2016 BSTSAI 0614 du 20/10/2016 (réalisation de travaux de voirie et réseaux divers et aménagements extérieurs sur les sites de la base de Défense de Brest-Lorient) -</x:v>
      </x:c>
      <x:c r="E964" s="33" t="str">
        <x:v>Travaux d'entretien routier.</x:v>
      </x:c>
      <x:c r="F964" s="36" t="n">
        <x:v>460550</x:v>
      </x:c>
      <x:c r="G964" s="38" t="n">
        <x:v>43444</x:v>
      </x:c>
      <x:c r="H964" s="38" t="n">
        <x:v>43444</x:v>
      </x:c>
      <x:c r="I964" s="40" t="n">
        <x:v>36</x:v>
      </x:c>
      <x:c r="J964" s="33" t="str">
        <x:v>Marché subséquent</x:v>
      </x:c>
      <x:c r="K964" s="33" t="str">
        <x:v>Appel d'offres ouvert</x:v>
      </x:c>
      <x:c r="L964" s="33" t="str">
        <x:v>Ferme et actualisable</x:v>
      </x:c>
      <x:c r="M964" s="33" t="str">
        <x:v>(56) Morbihan</x:v>
      </x:c>
      <x:c r="N964" s="33" t="str">
        <x:v>Oui</x:v>
      </x:c>
      <x:c r="O964" s="33" t="str">
        <x:v>data.gouv.fr_aife</x:v>
      </x:c>
      <x:c r="P964" s="33" t="str">
        <x:v>2018100013212500</x:v>
      </x:c>
    </x:row>
    <x:row r="965">
      <x:c r="A965" s="33" t="str">
        <x:v>2018170009048200</x:v>
      </x:c>
      <x:c r="B965" s="33" t="str">
        <x:v>MINARM / SCA / PFC Sud-Est - Plate-forme commissariat Sud-Est (Lyon)</x:v>
      </x:c>
      <x:c r="C965" s="33" t="str">
        <x:v>SOCIETE DES EAUX D'AIX LES BAINS</x:v>
      </x:c>
      <x:c r="D965" s="33" t="str">
        <x:v>Livraison de bouteilles d'eau au quartier de l'Alma à Grenoble (38) et sur le poste militaire du Bourget-du-lac (73) au profit du personnel de SENTINELLE.</x:v>
      </x:c>
      <x:c r="E965" s="33" t="str">
        <x:v>Eau minérale.</x:v>
      </x:c>
      <x:c r="F965" s="36" t="n">
        <x:v>20000</x:v>
      </x:c>
      <x:c r="G965" s="38" t="n">
        <x:v>43444</x:v>
      </x:c>
      <x:c r="H965" s="38" t="n">
        <x:v>43444</x:v>
      </x:c>
      <x:c r="I965" s="40" t="n">
        <x:v>48</x:v>
      </x:c>
      <x:c r="J965" s="33" t="str">
        <x:v>Accord-cadre</x:v>
      </x:c>
      <x:c r="K965" s="33" t="str">
        <x:v>Procédure adaptée</x:v>
      </x:c>
      <x:c r="L965" s="33" t="str">
        <x:v>Révisable</x:v>
      </x:c>
      <x:c r="M965" s="33" t="str">
        <x:v>(38) Isère</x:v>
      </x:c>
      <x:c r="N965" s="33" t="str">
        <x:v>Oui</x:v>
      </x:c>
      <x:c r="O965" s="33" t="str">
        <x:v>data.gouv.fr_aife</x:v>
      </x:c>
      <x:c r="P965" s="33" t="str">
        <x:v>2018170009048200</x:v>
      </x:c>
    </x:row>
    <x:row r="966">
      <x:c r="A966" s="33" t="str">
        <x:v>2018120005919300</x:v>
      </x:c>
      <x:c r="B966" s="33" t="str">
        <x:v>MINARM / DGA / DO / S2A / PROD / DA-IDFN - Division achats - Ile de France/Normandie</x:v>
      </x:c>
      <x:c r="C966" s="33" t="str">
        <x:v>LA VERRERIE SOUFFLEE ET NORMALISEE</x:v>
      </x:c>
      <x:c r="D966" s="33" t="str">
        <x:v>Confection, réalisation et fourniture de pièces de verrerie soufflée scientifiques et techniques spécifiques aux activités de DGA MNRBC et leur réparation, fabrication et modification au profit des laboratoires de DGA MNRBC avec fourniture des acces</x:v>
      </x:c>
      <x:c r="E966" s="33" t="str">
        <x:v>Verrerie de laboratoire.</x:v>
      </x:c>
      <x:c r="F966" s="36" t="n">
        <x:v>250000</x:v>
      </x:c>
      <x:c r="G966" s="38" t="n">
        <x:v>43444</x:v>
      </x:c>
      <x:c r="H966" s="38" t="n">
        <x:v>43444</x:v>
      </x:c>
      <x:c r="I966" s="40" t="n">
        <x:v>60</x:v>
      </x:c>
      <x:c r="J966" s="33" t="str">
        <x:v>Accord-cadre</x:v>
      </x:c>
      <x:c r="K966" s="33" t="str">
        <x:v>Procédure adaptée</x:v>
      </x:c>
      <x:c r="L966" s="33" t="str">
        <x:v>Révisable</x:v>
      </x:c>
      <x:c r="M966" s="33" t="str">
        <x:v>(91) Essonne</x:v>
      </x:c>
      <x:c r="N966" s="33" t="str">
        <x:v>Oui</x:v>
      </x:c>
      <x:c r="O966" s="33" t="str">
        <x:v>data.gouv.fr_aife</x:v>
      </x:c>
      <x:c r="P966" s="33" t="str">
        <x:v>2018120005919300</x:v>
      </x:c>
    </x:row>
    <x:row r="967">
      <x:c r="A967" s="33" t="str">
        <x:v>20182018T8007700</x:v>
      </x:c>
      <x:c r="B967" s="33" t="str">
        <x:v>MINARM / SIAé - Service industriel de l'aéronautique</x:v>
      </x:c>
      <x:c r="C967" s="33" t="str">
        <x:v>EUROVIA</x:v>
      </x:c>
      <x:c r="D967" s="33" t="str">
        <x:v>18039 - Réfection du parking piste et mise en place d'une grille d'appontage à l'atelier industriel de l'aéronautique de Cuers Pierrefeu (AIA CP).</x:v>
      </x:c>
      <x:c r="E967" s="33" t="str">
        <x:v>Travaux de réfection.</x:v>
      </x:c>
      <x:c r="F967" s="36" t="n">
        <x:v>308365</x:v>
      </x:c>
      <x:c r="G967" s="38" t="n">
        <x:v>43444</x:v>
      </x:c>
      <x:c r="H967" s="38" t="n">
        <x:v>43444</x:v>
      </x:c>
      <x:c r="I967" s="40" t="n">
        <x:v>3</x:v>
      </x:c>
      <x:c r="J967" s="33" t="str">
        <x:v>Marché</x:v>
      </x:c>
      <x:c r="K967" s="33" t="str">
        <x:v>Appel d'offres restreint</x:v>
      </x:c>
      <x:c r="L967" s="33" t="str">
        <x:v>Ferme et actualisable</x:v>
      </x:c>
      <x:c r="M967" s="33" t="str">
        <x:v>(83) Var</x:v>
      </x:c>
      <x:c r="N967" s="33" t="str">
        <x:v>Oui</x:v>
      </x:c>
      <x:c r="O967" s="33" t="str">
        <x:v>data.gouv.fr_aife</x:v>
      </x:c>
      <x:c r="P967" s="33" t="str">
        <x:v>20182018T8007700</x:v>
      </x:c>
    </x:row>
    <x:row r="968">
      <x:c r="A968" s="33" t="str">
        <x:v>2018150916441800</x:v>
      </x:c>
      <x:c r="B968" s="33" t="str">
        <x:v>MINARM / SSF / DSSF Brest - Direction du service de soutien de la flotte de Brest - DSSF Brest</x:v>
      </x:c>
      <x:c r="C968" s="33" t="str">
        <x:v>FLERS ERGONOMIE METALLERIE</x:v>
      </x:c>
      <x:c r="D968" s="33" t="str">
        <x:v>Approvisionnement de matières industrielles au profit de l'atelier militaire de soutien de Cherbourg.</x:v>
      </x:c>
      <x:c r="E968" s="33" t="str">
        <x:v>Pièces de rechange pour coque et pièces mécaniques pour navires de guerre.</x:v>
      </x:c>
      <x:c r="F968" s="36" t="n">
        <x:v>16376</x:v>
      </x:c>
      <x:c r="G968" s="38" t="n">
        <x:v>43444</x:v>
      </x:c>
      <x:c r="H968" s="38" t="n">
        <x:v>43444</x:v>
      </x:c>
      <x:c r="I968" s="40" t="n">
        <x:v>1</x:v>
      </x:c>
      <x:c r="J968" s="33" t="str">
        <x:v>Marché</x:v>
      </x:c>
      <x:c r="K968" s="33" t="str">
        <x:v>Procédure adaptée</x:v>
      </x:c>
      <x:c r="L968" s="33" t="str">
        <x:v>Ferme</x:v>
      </x:c>
      <x:c r="M968" s="33" t="str">
        <x:v>(29) Finistère</x:v>
      </x:c>
      <x:c r="N968" s="33" t="str">
        <x:v>Oui</x:v>
      </x:c>
      <x:c r="O968" s="33" t="str">
        <x:v>data.gouv.fr_aife</x:v>
      </x:c>
      <x:c r="P968" s="33" t="str">
        <x:v>2018150916441800</x:v>
      </x:c>
    </x:row>
    <x:row r="969">
      <x:c r="A969" s="33" t="str">
        <x:v>2018130013951400</x:v>
      </x:c>
      <x:c r="B969" s="33" t="str">
        <x:v>MINARM / SGA / DSNJ - Direction du Service National et de la Jeunesse - DSNJ</x:v>
      </x:c>
      <x:c r="C969" s="33" t="str">
        <x:v>SARL ELAN</x:v>
      </x:c>
      <x:c r="D969" s="33" t="str">
        <x:v>Hébergement du personnel d’encadrement du Centre du Service National (CSN) de Lyon participant à la Journée Défense et Citoyenneté (JDC) sur le site d’Aubenas, sans paiement préalable.</x:v>
      </x:c>
      <x:c r="E969" s="33" t="str">
        <x:v>Services d'hébergement hôtelier.</x:v>
      </x:c>
      <x:c r="F969" s="36" t="n">
        <x:v>7777</x:v>
      </x:c>
      <x:c r="G969" s="38" t="n">
        <x:v>43444</x:v>
      </x:c>
      <x:c r="H969" s="38" t="n">
        <x:v>43444</x:v>
      </x:c>
      <x:c r="I969" s="40" t="n">
        <x:v>35</x:v>
      </x:c>
      <x:c r="J969" s="33" t="str">
        <x:v>Accord-cadre</x:v>
      </x:c>
      <x:c r="K969" s="33" t="str"/>
      <x:c r="L969" s="33" t="str">
        <x:v>Révisable</x:v>
      </x:c>
      <x:c r="M969" s="33" t="str">
        <x:v>(07) Ardèche</x:v>
      </x:c>
      <x:c r="N969" s="33" t="str">
        <x:v>Oui</x:v>
      </x:c>
      <x:c r="O969" s="33" t="str">
        <x:v>data.gouv.fr_aife</x:v>
      </x:c>
      <x:c r="P969" s="33" t="str">
        <x:v>2018130013951400</x:v>
      </x:c>
    </x:row>
    <x:row r="970">
      <x:c r="A970" s="33" t="str">
        <x:v>2018100013241400</x:v>
      </x:c>
      <x:c r="B970" s="33" t="str">
        <x:v>MINARM / DGA / DO / S2A / PROD / DA-IDFN - Division achats - Ile de France/Normandie</x:v>
      </x:c>
      <x:c r="C970" s="33" t="str">
        <x:v>UTILIS SA</x:v>
      </x:c>
      <x:c r="D970" s="33" t="str">
        <x:v>Fourniture d'un système de décontamination par circulation d'air chaud et assistance à l'utilisation et aux essais</x:v>
      </x:c>
      <x:c r="E970" s="33" t="str">
        <x:v>Matériel de décontamination.</x:v>
      </x:c>
      <x:c r="F970" s="36" t="n">
        <x:v>218123</x:v>
      </x:c>
      <x:c r="G970" s="38" t="n">
        <x:v>43445</x:v>
      </x:c>
      <x:c r="H970" s="38" t="n">
        <x:v>43445</x:v>
      </x:c>
      <x:c r="I970" s="40" t="n">
        <x:v>16</x:v>
      </x:c>
      <x:c r="J970" s="33" t="str">
        <x:v>Marché</x:v>
      </x:c>
      <x:c r="K970" s="33" t="str"/>
      <x:c r="L970" s="33" t="str">
        <x:v>Ferme</x:v>
      </x:c>
      <x:c r="M970" s="33" t="str">
        <x:v>(91) Essonne</x:v>
      </x:c>
      <x:c r="N970" s="33" t="str">
        <x:v>Oui</x:v>
      </x:c>
      <x:c r="O970" s="33" t="str">
        <x:v>data.gouv.fr_aife</x:v>
      </x:c>
      <x:c r="P970" s="33" t="str">
        <x:v>2018100013241400</x:v>
      </x:c>
    </x:row>
    <x:row r="971">
      <x:c r="A971" s="33" t="str">
        <x:v>2018130013961400</x:v>
      </x:c>
      <x:c r="B971" s="33" t="str">
        <x:v>MINARM / SGA / DSNJ - Direction du Service National et de la Jeunesse - DSNJ</x:v>
      </x:c>
      <x:c r="C971" s="33" t="str">
        <x:v>LE PETIT BREUIL</x:v>
      </x:c>
      <x:c r="D971" s="33" t="str">
        <x:v>Hébergement du personnel d’encadrement du Centre du Service National (CSN) de Limoges participant à la Journée Défense et Citoyenneté (JDC) sur le site du 35ème Groupement de Camp – 20ème Régiment d’Infanterie – Camp de La Courtine – La</x:v>
      </x:c>
      <x:c r="E971" s="33" t="str">
        <x:v>Services d'hébergement hôtelier.</x:v>
      </x:c>
      <x:c r="F971" s="36" t="n">
        <x:v>3997</x:v>
      </x:c>
      <x:c r="G971" s="38" t="n">
        <x:v>43445</x:v>
      </x:c>
      <x:c r="H971" s="38" t="n">
        <x:v>43445</x:v>
      </x:c>
      <x:c r="I971" s="40" t="n">
        <x:v>36</x:v>
      </x:c>
      <x:c r="J971" s="33" t="str">
        <x:v>Accord-cadre</x:v>
      </x:c>
      <x:c r="K971" s="33" t="str"/>
      <x:c r="L971" s="33" t="str">
        <x:v>Révisable</x:v>
      </x:c>
      <x:c r="M971" s="33" t="str">
        <x:v>(23) Creuse</x:v>
      </x:c>
      <x:c r="N971" s="33" t="str">
        <x:v>Oui</x:v>
      </x:c>
      <x:c r="O971" s="33" t="str">
        <x:v>data.gouv.fr_aife</x:v>
      </x:c>
      <x:c r="P971" s="33" t="str">
        <x:v>2018130013961400</x:v>
      </x:c>
    </x:row>
    <x:row r="972">
      <x:c r="A972" s="33" t="str">
        <x:v>2018130013973200</x:v>
      </x:c>
      <x:c r="B972" s="33" t="str">
        <x:v>MINARM / SCA / PFC RBT - Plate-forme commissariat Rambouillet</x:v>
      </x:c>
      <x:c r="C972" s="33" t="str">
        <x:v>LEO MINOR</x:v>
      </x:c>
      <x:c r="D972" s="33" t="str">
        <x:v>Fabrication de cagoules : cagoules de camouflage blanches pour troupes de haute montagne</x:v>
      </x:c>
      <x:c r="E972" s="33" t="str">
        <x:v>Coiffures de protection.</x:v>
      </x:c>
      <x:c r="F972" s="36" t="n">
        <x:v>1211500</x:v>
      </x:c>
      <x:c r="G972" s="38" t="n">
        <x:v>43445</x:v>
      </x:c>
      <x:c r="H972" s="38" t="n">
        <x:v>43445</x:v>
      </x:c>
      <x:c r="I972" s="40" t="n">
        <x:v>48</x:v>
      </x:c>
      <x:c r="J972" s="33" t="str">
        <x:v>Accord-cadre</x:v>
      </x:c>
      <x:c r="K972" s="33" t="str">
        <x:v>Appel d'offres ouvert</x:v>
      </x:c>
      <x:c r="L972" s="33" t="str">
        <x:v>Révisable</x:v>
      </x:c>
      <x:c r="M972" s="33" t="str">
        <x:v>(78) Yvelines</x:v>
      </x:c>
      <x:c r="N972" s="33" t="str">
        <x:v>Oui</x:v>
      </x:c>
      <x:c r="O972" s="33" t="str">
        <x:v>data.gouv.fr_aife</x:v>
      </x:c>
      <x:c r="P972" s="33" t="str">
        <x:v>2018130013973200</x:v>
      </x:c>
    </x:row>
    <x:row r="973">
      <x:c r="A973" s="33" t="str">
        <x:v>2018110004437000</x:v>
      </x:c>
      <x:c r="B973" s="33" t="str">
        <x:v>MINARM / DGA / DO / S2A / PROD / DA-SE - Division achats - Sud-Est</x:v>
      </x:c>
      <x:c r="C973" s="33" t="str">
        <x:v>INEO DEFENSE</x:v>
      </x:c>
      <x:c r="D973" s="33" t="str">
        <x:v>Remplacement du shelter d'exploitation du moyen de mesure Banc Haute Résolution de Nouvelle Génération et des remorques associées</x:v>
      </x:c>
      <x:c r="E973" s="33" t="str">
        <x:v>Services de réparation et d'entretien des matériels de défense et de sécurité.</x:v>
      </x:c>
      <x:c r="F973" s="36" t="n">
        <x:v>520073</x:v>
      </x:c>
      <x:c r="G973" s="38" t="n">
        <x:v>43445</x:v>
      </x:c>
      <x:c r="H973" s="38" t="n">
        <x:v>43445</x:v>
      </x:c>
      <x:c r="I973" s="40" t="n">
        <x:v>24</x:v>
      </x:c>
      <x:c r="J973" s="33" t="str">
        <x:v>Marché subséquent</x:v>
      </x:c>
      <x:c r="K973" s="33" t="str"/>
      <x:c r="L973" s="33" t="str">
        <x:v>Révisable</x:v>
      </x:c>
      <x:c r="M973" s="33" t="str">
        <x:v>(83) Var</x:v>
      </x:c>
      <x:c r="N973" s="33" t="str">
        <x:v>Oui</x:v>
      </x:c>
      <x:c r="O973" s="33" t="str">
        <x:v>data.gouv.fr_aife</x:v>
      </x:c>
      <x:c r="P973" s="33" t="str">
        <x:v>2018110004437000</x:v>
      </x:c>
    </x:row>
    <x:row r="974">
      <x:c r="A974" s="33" t="str">
        <x:v>2018150915489800</x:v>
      </x:c>
      <x:c r="B974" s="33" t="str">
        <x:v>MINARM / DGA / DO / S2A / PROD / DA-BA - Division achats - Toulouse/Balma</x:v>
      </x:c>
      <x:c r="C974" s="33" t="str">
        <x:v>ROHDE &amp; SCHWARZ FRANCE SAS</x:v>
      </x:c>
      <x:c r="D974" s="33" t="str">
        <x:v>Acquisition d'un analyseur de réseau 40GHz et d'un dispositif d'injection BCI - Contrat décomposé en 2 lots : - Lot 1 : Acquisition d'un analyseur de réseau - Lot 2 : Acquisition d'un dispositif d'injection BCI - - Acquisition d'un analyseur de réseau</x:v>
      </x:c>
      <x:c r="E974" s="33" t="str">
        <x:v>Équipement à hyperfréquences.</x:v>
      </x:c>
      <x:c r="F974" s="36" t="n">
        <x:v>119216</x:v>
      </x:c>
      <x:c r="G974" s="38" t="n">
        <x:v>43445</x:v>
      </x:c>
      <x:c r="H974" s="38" t="n">
        <x:v>43445</x:v>
      </x:c>
      <x:c r="I974" s="40" t="n">
        <x:v>36</x:v>
      </x:c>
      <x:c r="J974" s="33" t="str">
        <x:v>Marché</x:v>
      </x:c>
      <x:c r="K974" s="33" t="str"/>
      <x:c r="L974" s="33" t="str">
        <x:v>Ferme</x:v>
      </x:c>
      <x:c r="M974" s="33" t="str">
        <x:v>(31) Haute-Garonne</x:v>
      </x:c>
      <x:c r="N974" s="33" t="str">
        <x:v>Oui</x:v>
      </x:c>
      <x:c r="O974" s="33" t="str">
        <x:v>data.gouv.fr_aife</x:v>
      </x:c>
      <x:c r="P974" s="33" t="str">
        <x:v>2018150915489800</x:v>
      </x:c>
    </x:row>
    <x:row r="975">
      <x:c r="A975" s="33" t="str">
        <x:v>2018150915789000</x:v>
      </x:c>
      <x:c r="B975" s="33" t="str">
        <x:v>MINARM / SSF / DSSF Brest - Direction du service de soutien de la flotte de Brest - DSSF Brest</x:v>
      </x:c>
      <x:c r="C975" s="33" t="str">
        <x:v>LE LITTORAL</x:v>
      </x:c>
      <x:c r="D975" s="33" t="str">
        <x:v>Approvisionnement de mécanismes de déclenchement hydro et de cartouches filtrantes de marques diverses ou équivalents au profit des unités de la Marine Nationale</x:v>
      </x:c>
      <x:c r="E975" s="33" t="str">
        <x:v>Pièces de rechange pour coque et pièces mécaniques pour navires de guerre.</x:v>
      </x:c>
      <x:c r="F975" s="36" t="n">
        <x:v>1482</x:v>
      </x:c>
      <x:c r="G975" s="38" t="n">
        <x:v>43445</x:v>
      </x:c>
      <x:c r="H975" s="38" t="n">
        <x:v>43445</x:v>
      </x:c>
      <x:c r="I975" s="40" t="n">
        <x:v>1</x:v>
      </x:c>
      <x:c r="J975" s="33" t="str">
        <x:v>Marché</x:v>
      </x:c>
      <x:c r="K975" s="33" t="str">
        <x:v>Procédure adaptée</x:v>
      </x:c>
      <x:c r="L975" s="33" t="str">
        <x:v>Ferme</x:v>
      </x:c>
      <x:c r="M975" s="33" t="str">
        <x:v>(29) Finistère</x:v>
      </x:c>
      <x:c r="N975" s="33" t="str">
        <x:v>Oui</x:v>
      </x:c>
      <x:c r="O975" s="33" t="str">
        <x:v>data.gouv.fr_aife</x:v>
      </x:c>
      <x:c r="P975" s="33" t="str">
        <x:v>2018150915789000</x:v>
      </x:c>
    </x:row>
    <x:row r="976">
      <x:c r="A976" s="33" t="str">
        <x:v>2018150912408800</x:v>
      </x:c>
      <x:c r="B976" s="33" t="str">
        <x:v>MINARM / SGA / SID / ESID Lyon - Etablissement du service d'infrastructure de la défense de Lyon - ESID Lyon</x:v>
      </x:c>
      <x:c r="C976" s="33" t="str">
        <x:v>SOCIETE ALPINE DES BOIS</x:v>
      </x:c>
      <x:c r="D976" s="33" t="str">
        <x:v>18 DG 2345 DGN - MONTFERRAT(83) - Camp de Canjuers - 1er RCA - Travaux forestiers et reprofilage piste DFCI de la CNJ 20B ( création - entretien) - (ESID-18-212_213 / COSI: 451636) - Travaux forestiers DFCI</x:v>
      </x:c>
      <x:c r="E976" s="33" t="str">
        <x:v>Travaux d'aménagement paysager d'espaces verts.</x:v>
      </x:c>
      <x:c r="F976" s="36" t="n">
        <x:v>63700</x:v>
      </x:c>
      <x:c r="G976" s="38" t="n">
        <x:v>43445</x:v>
      </x:c>
      <x:c r="H976" s="38" t="n">
        <x:v>43445</x:v>
      </x:c>
      <x:c r="I976" s="40" t="n">
        <x:v>3</x:v>
      </x:c>
      <x:c r="J976" s="33" t="str">
        <x:v>Marché</x:v>
      </x:c>
      <x:c r="K976" s="33" t="str">
        <x:v>Procédure adaptée</x:v>
      </x:c>
      <x:c r="L976" s="33" t="str">
        <x:v>Ferme et actualisable</x:v>
      </x:c>
      <x:c r="M976" s="33" t="str">
        <x:v>(83) Var</x:v>
      </x:c>
      <x:c r="N976" s="33" t="str">
        <x:v>Oui</x:v>
      </x:c>
      <x:c r="O976" s="33" t="str">
        <x:v>data.gouv.fr_aife</x:v>
      </x:c>
      <x:c r="P976" s="33" t="str">
        <x:v>2018150912408800</x:v>
      </x:c>
    </x:row>
    <x:row r="977">
      <x:c r="A977" s="33" t="str">
        <x:v>20182018S8004800</x:v>
      </x:c>
      <x:c r="B977" s="33" t="str">
        <x:v>MINARM / ESTM / EPA / SHOM - Service hydrographique et océanographique de la Marine</x:v>
      </x:c>
      <x:c r="C977" s="33" t="str">
        <x:v>GEOMATYS</x:v>
      </x:c>
      <x:c r="D977" s="33" t="str">
        <x:v>Démonstrateur d'exploitation de données géophysiques</x:v>
      </x:c>
      <x:c r="E977" s="33" t="str">
        <x:v>Services de développement de logiciels.</x:v>
      </x:c>
      <x:c r="F977" s="36" t="n">
        <x:v>350000</x:v>
      </x:c>
      <x:c r="G977" s="38" t="n">
        <x:v>43445</x:v>
      </x:c>
      <x:c r="H977" s="38" t="n">
        <x:v>43445</x:v>
      </x:c>
      <x:c r="I977" s="40" t="n">
        <x:v>72</x:v>
      </x:c>
      <x:c r="J977" s="33" t="str">
        <x:v>Accord-cadre</x:v>
      </x:c>
      <x:c r="K977" s="33" t="str">
        <x:v>Procédure adaptée</x:v>
      </x:c>
      <x:c r="L977" s="33" t="str">
        <x:v>Révisable</x:v>
      </x:c>
      <x:c r="M977" s="33" t="str">
        <x:v>(29) Finistère</x:v>
      </x:c>
      <x:c r="N977" s="33" t="str">
        <x:v>Oui</x:v>
      </x:c>
      <x:c r="O977" s="33" t="str">
        <x:v>data.gouv.fr_aife</x:v>
      </x:c>
      <x:c r="P977" s="33" t="str">
        <x:v>20182018S8004800</x:v>
      </x:c>
    </x:row>
    <x:row r="978">
      <x:c r="A978" s="33" t="str">
        <x:v>2018130013972800</x:v>
      </x:c>
      <x:c r="B978" s="33" t="str">
        <x:v>MINARM / DIRISI / DIRISI Brest - Direction interarmées des réseaux d'infrastructure et des systèmes d'information - Brest</x:v>
      </x:c>
      <x:c r="C978" s="33" t="str">
        <x:v>ITNI</x:v>
      </x:c>
      <x:c r="D978" s="33" t="str">
        <x:v>Étude, fourniture, mise en uvre, configuration, maintien en condition opérationnelle et évolution d'un système de protection d'accès et de sécurisation pour le régiment de marche du Tchad (RMT) situé près de Meyenheim</x:v>
      </x:c>
      <x:c r="E978" s="33" t="str">
        <x:v>Système de contrôle des accès.</x:v>
      </x:c>
      <x:c r="F978" s="36" t="n">
        <x:v>1749986</x:v>
      </x:c>
      <x:c r="G978" s="38" t="n">
        <x:v>43445</x:v>
      </x:c>
      <x:c r="H978" s="38" t="n">
        <x:v>43445</x:v>
      </x:c>
      <x:c r="I978" s="40" t="n">
        <x:v>60</x:v>
      </x:c>
      <x:c r="J978" s="33" t="str">
        <x:v>Marché subséquent</x:v>
      </x:c>
      <x:c r="K978" s="33" t="str">
        <x:v>Appel d'offres ouvert</x:v>
      </x:c>
      <x:c r="L978" s="33" t="str">
        <x:v>Révisable</x:v>
      </x:c>
      <x:c r="M978" s="33" t="str">
        <x:v>(68) Haut-Rhin</x:v>
      </x:c>
      <x:c r="N978" s="33" t="str">
        <x:v>Oui</x:v>
      </x:c>
      <x:c r="O978" s="33" t="str">
        <x:v>data.gouv.fr_aife</x:v>
      </x:c>
      <x:c r="P978" s="33" t="str">
        <x:v>2018130013972800</x:v>
      </x:c>
    </x:row>
    <x:row r="979">
      <x:c r="A979" s="33" t="str">
        <x:v>2018120005937200</x:v>
      </x:c>
      <x:c r="B979" s="33" t="str">
        <x:v>MINARM / DIRISI - Direction Interarmées des Réseaux d'Infrastructure et des Systèmes d'Information de la défense</x:v>
      </x:c>
      <x:c r="C979" s="33" t="str">
        <x:v>CAPGEMINI TECHNOLOGY SERVICES</x:v>
      </x:c>
      <x:c r="D979" s="33" t="str">
        <x:v>Réalisation et tierce maintenance applicative (TMA) du SI Réserves 2019</x:v>
      </x:c>
      <x:c r="E979" s="33" t="str">
        <x:v>Services de développement de logiciels de bases de données et de logiciels d'exploitation.</x:v>
      </x:c>
      <x:c r="F979" s="36" t="n">
        <x:v>3280012</x:v>
      </x:c>
      <x:c r="G979" s="38" t="n">
        <x:v>43445</x:v>
      </x:c>
      <x:c r="H979" s="38" t="n">
        <x:v>43445</x:v>
      </x:c>
      <x:c r="I979" s="40" t="n">
        <x:v>37</x:v>
      </x:c>
      <x:c r="J979" s="33" t="str">
        <x:v>Marché subséquent</x:v>
      </x:c>
      <x:c r="K979" s="33" t="str"/>
      <x:c r="L979" s="33" t="str">
        <x:v>Révisable</x:v>
      </x:c>
      <x:c r="M979" s="33" t="str">
        <x:v>(94) Val-de-Marne</x:v>
      </x:c>
      <x:c r="N979" s="33" t="str">
        <x:v>Oui</x:v>
      </x:c>
      <x:c r="O979" s="33" t="str">
        <x:v>data.gouv.fr_aife</x:v>
      </x:c>
      <x:c r="P979" s="33" t="str">
        <x:v>2018120005937200</x:v>
      </x:c>
    </x:row>
    <x:row r="980">
      <x:c r="A980" s="33" t="str">
        <x:v>2018130013934700</x:v>
      </x:c>
      <x:c r="B980" s="33" t="str">
        <x:v>MINARM / SGA / SID / ESID Bordeaux - Etablissement du service d'infrastructure de la défense de Bordeaux - ESID Bordeaux</x:v>
      </x:c>
      <x:c r="C980" s="33" t="str">
        <x:v>FAUCHE AUTOMATION AQUITAINE</x:v>
      </x:c>
      <x:c r="D980" s="33" t="str">
        <x:v>Cazaux (33) - Accord-cadre à bons de commande relatif à la maintenance préventive et corrective d'équipements industriels et installations techniques diverses (ETI) - Maintenance des équipements techniques industriels (ETI)</x:v>
      </x:c>
      <x:c r="E980" s="33" t="str">
        <x:v>Portes coulissantes.</x:v>
      </x:c>
      <x:c r="F980" s="36" t="n">
        <x:v>1</x:v>
      </x:c>
      <x:c r="G980" s="38" t="n">
        <x:v>43445</x:v>
      </x:c>
      <x:c r="H980" s="38" t="n">
        <x:v>43445</x:v>
      </x:c>
      <x:c r="I980" s="40" t="n">
        <x:v>48</x:v>
      </x:c>
      <x:c r="J980" s="33" t="str">
        <x:v>Accord-cadre</x:v>
      </x:c>
      <x:c r="K980" s="33" t="str">
        <x:v>Appel d'offres ouvert</x:v>
      </x:c>
      <x:c r="L980" s="33" t="str">
        <x:v>Révisable</x:v>
      </x:c>
      <x:c r="M980" s="33" t="str">
        <x:v>(33) Gironde</x:v>
      </x:c>
      <x:c r="N980" s="33" t="str">
        <x:v>Oui</x:v>
      </x:c>
      <x:c r="O980" s="33" t="str">
        <x:v>data.gouv.fr_aife</x:v>
      </x:c>
      <x:c r="P980" s="33" t="str">
        <x:v>2018130013934700</x:v>
      </x:c>
    </x:row>
    <x:row r="981">
      <x:c r="A981" s="33" t="str">
        <x:v>2018150912409800</x:v>
      </x:c>
      <x:c r="B981" s="33" t="str">
        <x:v>MINARM / SGA / SID / ESID Lyon - Etablissement du service d'infrastructure de la défense de Lyon - ESID Lyon</x:v>
      </x:c>
      <x:c r="C981" s="33" t="str">
        <x:v>S N E P DOS SANTOS ENVIRONNEMENT</x:v>
      </x:c>
      <x:c r="D981" s="33" t="str">
        <x:v>18 DG 2344 DGN - MONTFERRAT(83) - Camp de Canjuers - 1er RCA - Travaux forestiers et reprofilage piste DFCI de la CNJ 20B ( création - entretien) - (ESID-18-212_213 / COSI: 451636) - Reprofilage piste DFCI</x:v>
      </x:c>
      <x:c r="E981" s="33" t="str">
        <x:v>Travaux d'aménagement du terrain.</x:v>
      </x:c>
      <x:c r="F981" s="36" t="n">
        <x:v>28800</x:v>
      </x:c>
      <x:c r="G981" s="38" t="n">
        <x:v>43445</x:v>
      </x:c>
      <x:c r="H981" s="38" t="n">
        <x:v>43445</x:v>
      </x:c>
      <x:c r="I981" s="40" t="n">
        <x:v>3</x:v>
      </x:c>
      <x:c r="J981" s="33" t="str">
        <x:v>Marché</x:v>
      </x:c>
      <x:c r="K981" s="33" t="str">
        <x:v>Procédure adaptée</x:v>
      </x:c>
      <x:c r="L981" s="33" t="str">
        <x:v>Ferme et actualisable</x:v>
      </x:c>
      <x:c r="M981" s="33" t="str">
        <x:v>(83) Var</x:v>
      </x:c>
      <x:c r="N981" s="33" t="str">
        <x:v>Oui</x:v>
      </x:c>
      <x:c r="O981" s="33" t="str">
        <x:v>data.gouv.fr_aife</x:v>
      </x:c>
      <x:c r="P981" s="33" t="str">
        <x:v>2018150912409800</x:v>
      </x:c>
    </x:row>
    <x:row r="982">
      <x:c r="A982" s="33" t="str">
        <x:v>2018150916424400</x:v>
      </x:c>
      <x:c r="B982" s="33" t="str">
        <x:v>MINARM / SGA / SID / ESID Metz - Etablissement du service d'infrastructure de la défense de Metz - ESID Metz</x:v>
      </x:c>
      <x:c r="C982" s="33" t="str">
        <x:v>S2T - INGENIERIE DE LA CONSTRUCTION DURABLE</x:v>
      </x:c>
      <x:c r="D982" s="33" t="str">
        <x:v>BOUROGNE (90) - AILLERET - 1RA - Construction d'une chaufferie - Assistance à maîtrise d'ouvrage thermique</x:v>
      </x:c>
      <x:c r="E982" s="33" t="str">
        <x:v>Services de conception des systèmes de chauffage.</x:v>
      </x:c>
      <x:c r="F982" s="36" t="n">
        <x:v>34212</x:v>
      </x:c>
      <x:c r="G982" s="38" t="n">
        <x:v>43445</x:v>
      </x:c>
      <x:c r="H982" s="38" t="n">
        <x:v>43445</x:v>
      </x:c>
      <x:c r="I982" s="40" t="n">
        <x:v>3</x:v>
      </x:c>
      <x:c r="J982" s="33" t="str">
        <x:v>Marché</x:v>
      </x:c>
      <x:c r="K982" s="33" t="str">
        <x:v>Appel d'offres ouvert</x:v>
      </x:c>
      <x:c r="L982" s="33" t="str">
        <x:v>Ferme et actualisable</x:v>
      </x:c>
      <x:c r="M982" s="33" t="str">
        <x:v>(90) Territoire-de-Belfort</x:v>
      </x:c>
      <x:c r="N982" s="33" t="str">
        <x:v>Oui</x:v>
      </x:c>
      <x:c r="O982" s="33" t="str">
        <x:v>data.gouv.fr_aife</x:v>
      </x:c>
      <x:c r="P982" s="33" t="str">
        <x:v>2018150916424400</x:v>
      </x:c>
    </x:row>
    <x:row r="983">
      <x:c r="A983" s="33" t="str">
        <x:v>2018170009091000</x:v>
      </x:c>
      <x:c r="B983" s="33" t="str">
        <x:v>MINARM / SCA / GSBdD/DICOM Antilles - Groupement de soutien de la base de défense des Antilles direction du commissariat d'outre-mer aux Antilles</x:v>
      </x:c>
      <x:c r="C983" s="33" t="str">
        <x:v>CIE MARTINIQUAISE DE DISTRIBUTION</x:v>
      </x:c>
      <x:c r="D983" s="33" t="str">
        <x:v>Acquisition de draps blancs au profit des FAA et du RSMA Martinique.</x:v>
      </x:c>
      <x:c r="E983" s="33" t="str">
        <x:v>Linge de lit.</x:v>
      </x:c>
      <x:c r="F983" s="36" t="n">
        <x:v>90000</x:v>
      </x:c>
      <x:c r="G983" s="38" t="n">
        <x:v>43445</x:v>
      </x:c>
      <x:c r="H983" s="38" t="n">
        <x:v>43445</x:v>
      </x:c>
      <x:c r="I983" s="40" t="n">
        <x:v>24</x:v>
      </x:c>
      <x:c r="J983" s="33" t="str">
        <x:v>Accord-cadre</x:v>
      </x:c>
      <x:c r="K983" s="33" t="str">
        <x:v>Procédure adaptée</x:v>
      </x:c>
      <x:c r="L983" s="33" t="str">
        <x:v>Ferme et actualisable</x:v>
      </x:c>
      <x:c r="M983" s="33" t="str">
        <x:v>(972) Martinique</x:v>
      </x:c>
      <x:c r="N983" s="33" t="str">
        <x:v>Oui</x:v>
      </x:c>
      <x:c r="O983" s="33" t="str">
        <x:v>data.gouv.fr_aife</x:v>
      </x:c>
      <x:c r="P983" s="33" t="str">
        <x:v>2018170009091000</x:v>
      </x:c>
    </x:row>
    <x:row r="984">
      <x:c r="A984" s="33" t="str">
        <x:v>2018120005914100</x:v>
      </x:c>
      <x:c r="B984" s="33" t="str">
        <x:v>MINARM / SCA / PFC Sud - Plate-forme commissariat Sud (Toulon)</x:v>
      </x:c>
      <x:c r="C984" s="33" t="str">
        <x:v>SAMSIC SECURITE</x:v>
      </x:c>
      <x:c r="D984" s="33" t="str">
        <x:v>MS SOCLE LOT 9 : Prestations d'accueil, de filtrage, de gardiennage et de sécurité incendie au profit des armées, directions et services relevant de la base de défense de Lille soutenue par la PFAF Ile de France à Saint Germain en Laye. - DESIGNATION D</x:v>
      </x:c>
      <x:c r="E984" s="33" t="str">
        <x:v>Services de gardiennage.</x:v>
      </x:c>
      <x:c r="F984" s="36" t="n">
        <x:v>3555730</x:v>
      </x:c>
      <x:c r="G984" s="38" t="n">
        <x:v>43445</x:v>
      </x:c>
      <x:c r="H984" s="38" t="n">
        <x:v>43445</x:v>
      </x:c>
      <x:c r="I984" s="40" t="n">
        <x:v>36</x:v>
      </x:c>
      <x:c r="J984" s="33" t="str">
        <x:v>Marché subséquent</x:v>
      </x:c>
      <x:c r="K984" s="33" t="str">
        <x:v>Appel d'offres ouvert</x:v>
      </x:c>
      <x:c r="L984" s="33" t="str">
        <x:v>Révisable</x:v>
      </x:c>
      <x:c r="M984" s="33" t="str">
        <x:v>(59) Nord</x:v>
      </x:c>
      <x:c r="N984" s="33" t="str">
        <x:v>Oui</x:v>
      </x:c>
      <x:c r="O984" s="33" t="str">
        <x:v>data.gouv.fr_aife</x:v>
      </x:c>
      <x:c r="P984" s="33" t="str">
        <x:v>2018120005914100</x:v>
      </x:c>
    </x:row>
    <x:row r="985">
      <x:c r="A985" s="33" t="str">
        <x:v>2018130013973100</x:v>
      </x:c>
      <x:c r="B985" s="33" t="str">
        <x:v>MINARM / SCA / PFC RBT - Plate-forme commissariat Rambouillet</x:v>
      </x:c>
      <x:c r="C985" s="33" t="str">
        <x:v>LEO MINOR</x:v>
      </x:c>
      <x:c r="D985" s="33" t="str">
        <x:v>Fabrication de cagoules de cagoules en tricot thermostable</x:v>
      </x:c>
      <x:c r="E985" s="33" t="str">
        <x:v>Coiffures de protection.</x:v>
      </x:c>
      <x:c r="F985" s="36" t="n">
        <x:v>1417500</x:v>
      </x:c>
      <x:c r="G985" s="38" t="n">
        <x:v>43445</x:v>
      </x:c>
      <x:c r="H985" s="38" t="n">
        <x:v>43445</x:v>
      </x:c>
      <x:c r="I985" s="40" t="n">
        <x:v>48</x:v>
      </x:c>
      <x:c r="J985" s="33" t="str">
        <x:v>Accord-cadre</x:v>
      </x:c>
      <x:c r="K985" s="33" t="str">
        <x:v>Appel d'offres ouvert</x:v>
      </x:c>
      <x:c r="L985" s="33" t="str">
        <x:v>Révisable</x:v>
      </x:c>
      <x:c r="M985" s="33" t="str">
        <x:v>(78) Yvelines</x:v>
      </x:c>
      <x:c r="N985" s="33" t="str">
        <x:v>Oui</x:v>
      </x:c>
      <x:c r="O985" s="33" t="str">
        <x:v>data.gouv.fr_aife</x:v>
      </x:c>
      <x:c r="P985" s="33" t="str">
        <x:v>2018130013973100</x:v>
      </x:c>
    </x:row>
    <x:row r="986">
      <x:c r="A986" s="33" t="str">
        <x:v>2018100013257200</x:v>
      </x:c>
      <x:c r="B986" s="33" t="str">
        <x:v>MINARM / SSF / DSSF Toulon - Direction du service de soutien de la flotte de Toulon - DSSF Toulon</x:v>
      </x:c>
      <x:c r="C986" s="33" t="str">
        <x:v>AART ELECTRONICS</x:v>
      </x:c>
      <x:c r="D986" s="33" t="str">
        <x:v>Accord cadre 2016 M16T20 010 relatif à l’approvisionnement de matériels électriques et électroniques pour le maintien en condition opérationnelle (MCO) des Eléments de Force Maritime (EFM) et des Eléments de Force Armées (EFA). -</x:v>
      </x:c>
      <x:c r="E986" s="33" t="str">
        <x:v>Pièces électroniques et électriques de rechange pour navires de guerre.</x:v>
      </x:c>
      <x:c r="F986" s="36" t="n">
        <x:v>36795</x:v>
      </x:c>
      <x:c r="G986" s="38" t="n">
        <x:v>43445</x:v>
      </x:c>
      <x:c r="H986" s="38" t="n">
        <x:v>43445</x:v>
      </x:c>
      <x:c r="I986" s="40" t="n">
        <x:v>12</x:v>
      </x:c>
      <x:c r="J986" s="33" t="str">
        <x:v>Marché subséquent</x:v>
      </x:c>
      <x:c r="K986" s="33" t="str">
        <x:v>Appel d'offres ouvert</x:v>
      </x:c>
      <x:c r="L986" s="33" t="str">
        <x:v>Ferme et actualisable</x:v>
      </x:c>
      <x:c r="M986" s="33" t="str">
        <x:v>(83) Var</x:v>
      </x:c>
      <x:c r="N986" s="33" t="str">
        <x:v>Oui</x:v>
      </x:c>
      <x:c r="O986" s="33" t="str">
        <x:v>data.gouv.fr_aife</x:v>
      </x:c>
      <x:c r="P986" s="33" t="str">
        <x:v>2018100013257200</x:v>
      </x:c>
    </x:row>
    <x:row r="987">
      <x:c r="A987" s="33" t="str">
        <x:v>2018100013243900</x:v>
      </x:c>
      <x:c r="B987" s="33" t="str">
        <x:v>MINARM / DIRISI - Direction Interarmées des Réseaux d'Infrastructure et des Systèmes d'Information de la défense</x:v>
      </x:c>
      <x:c r="C987" s="33" t="str">
        <x:v>EYEVIS FRANCE</x:v>
      </x:c>
      <x:c r="D987" s="33" t="str">
        <x:v>Acquisition et MCO de murs d'images au profit du ministère de la défense, hors DGA/CATOD pour les LOTS 3 et 4. - - Maintenance adaptative des murs d'images existants au sein du ministère de la Défense.</x:v>
      </x:c>
      <x:c r="E987" s="33" t="str">
        <x:v>Services de maintenance de systèmes.</x:v>
      </x:c>
      <x:c r="F987" s="36" t="n">
        <x:v>33332</x:v>
      </x:c>
      <x:c r="G987" s="38" t="n">
        <x:v>43445</x:v>
      </x:c>
      <x:c r="H987" s="38" t="n">
        <x:v>43445</x:v>
      </x:c>
      <x:c r="I987" s="40" t="n">
        <x:v>24</x:v>
      </x:c>
      <x:c r="J987" s="33" t="str">
        <x:v>Marché subséquent</x:v>
      </x:c>
      <x:c r="K987" s="33" t="str">
        <x:v>Appel d'offres ouvert</x:v>
      </x:c>
      <x:c r="L987" s="33" t="str">
        <x:v>Ferme</x:v>
      </x:c>
      <x:c r="M987" s="33" t="str">
        <x:v>(91) Essonne</x:v>
      </x:c>
      <x:c r="N987" s="33" t="str">
        <x:v>Oui</x:v>
      </x:c>
      <x:c r="O987" s="33" t="str">
        <x:v>data.gouv.fr_aife</x:v>
      </x:c>
      <x:c r="P987" s="33" t="str">
        <x:v>2018100013243900</x:v>
      </x:c>
    </x:row>
    <x:row r="988">
      <x:c r="A988" s="33" t="str">
        <x:v>2018150915481400</x:v>
      </x:c>
      <x:c r="B988" s="33" t="str">
        <x:v>MINARM / SSA / DAPSA - Direction des Approvisionnements en produits de santé des armées</x:v>
      </x:c>
      <x:c r="C988" s="33" t="str">
        <x:v>ANTYCIP SIMULATION</x:v>
      </x:c>
      <x:c r="D988" s="33" t="str">
        <x:v>Fourniture de vidéoprojecteurs stéréoscopiques adaptés à un équipement de vision de nuit existant au profit de l'Institut de Recherche Biomédicale des Armées</x:v>
      </x:c>
      <x:c r="E988" s="33" t="str">
        <x:v>Vidéoprojecteurs.</x:v>
      </x:c>
      <x:c r="F988" s="36" t="n">
        <x:v>123570</x:v>
      </x:c>
      <x:c r="G988" s="38" t="n">
        <x:v>43445</x:v>
      </x:c>
      <x:c r="H988" s="38" t="n">
        <x:v>43445</x:v>
      </x:c>
      <x:c r="I988" s="40" t="n">
        <x:v>12</x:v>
      </x:c>
      <x:c r="J988" s="33" t="str">
        <x:v>Marché</x:v>
      </x:c>
      <x:c r="K988" s="33" t="str">
        <x:v>Procédure adaptée</x:v>
      </x:c>
      <x:c r="L988" s="33" t="str">
        <x:v>Ferme</x:v>
      </x:c>
      <x:c r="M988" s="33" t="str">
        <x:v>(91) Essonne</x:v>
      </x:c>
      <x:c r="N988" s="33" t="str">
        <x:v>Oui</x:v>
      </x:c>
      <x:c r="O988" s="33" t="str">
        <x:v>data.gouv.fr_aife</x:v>
      </x:c>
      <x:c r="P988" s="33" t="str">
        <x:v>2018150915481400</x:v>
      </x:c>
    </x:row>
    <x:row r="989">
      <x:c r="A989" s="33" t="str">
        <x:v>20182021S2141700</x:v>
      </x:c>
      <x:c r="B989" s="33" t="str">
        <x:v>MINARM / ESTM / EPA / ONAC - Office National des Anciens Combattants et victimes de guerre</x:v>
      </x:c>
      <x:c r="C989" s="33" t="str">
        <x:v>BRUNELLE</x:v>
      </x:c>
      <x:c r="D989" s="33" t="str">
        <x:v>Mission de maîtrise d'oeuvre pour la restauration des Ossuaires de la Nécropole de Notre-Dame de Lorette</x:v>
      </x:c>
      <x:c r="E989" s="33" t="str">
        <x:v>Services d'architecture, d'ingénierie et de planification.</x:v>
      </x:c>
      <x:c r="F989" s="36" t="n">
        <x:v>96000</x:v>
      </x:c>
      <x:c r="G989" s="38" t="n">
        <x:v>43445</x:v>
      </x:c>
      <x:c r="H989" s="38" t="n">
        <x:v>43445</x:v>
      </x:c>
      <x:c r="I989" s="40" t="n">
        <x:v>61</x:v>
      </x:c>
      <x:c r="J989" s="33" t="str">
        <x:v>Marché</x:v>
      </x:c>
      <x:c r="K989" s="33" t="str"/>
      <x:c r="L989" s="33" t="str">
        <x:v>Révisable</x:v>
      </x:c>
      <x:c r="M989" s="33" t="str">
        <x:v>(62) Pas-de-Calais</x:v>
      </x:c>
      <x:c r="N989" s="33" t="str">
        <x:v>Oui</x:v>
      </x:c>
      <x:c r="O989" s="33" t="str">
        <x:v>data.gouv.fr_aife</x:v>
      </x:c>
      <x:c r="P989" s="33" t="str">
        <x:v>20182021S2141700</x:v>
      </x:c>
    </x:row>
    <x:row r="990">
      <x:c r="A990" s="33" t="str">
        <x:v>2018150915795800</x:v>
      </x:c>
      <x:c r="B990" s="33" t="str">
        <x:v>MINARM / SCA / PFC Sud-Est - Plate-forme commissariat Sud-Est (Lyon)</x:v>
      </x:c>
      <x:c r="C990" s="33" t="str">
        <x:v>PITNEY BOWES</x:v>
      </x:c>
      <x:c r="D990" s="33" t="str">
        <x:v>Acquisition, installation et formations associées d’un module de séparation de laize au profit de l’Établissement de Diffusion, d’Impression et d’Archives du Commissariat des Armées (EDIACA) à Saint Etienne</x:v>
      </x:c>
      <x:c r="E990" s="33" t="str">
        <x:v>Plaques ou cylindres d'impression, autre matériel d'imprimerie.</x:v>
      </x:c>
      <x:c r="F990" s="36" t="n">
        <x:v>89898</x:v>
      </x:c>
      <x:c r="G990" s="38" t="n">
        <x:v>43446</x:v>
      </x:c>
      <x:c r="H990" s="38" t="n">
        <x:v>43446</x:v>
      </x:c>
      <x:c r="I990" s="40" t="n">
        <x:v>12</x:v>
      </x:c>
      <x:c r="J990" s="33" t="str">
        <x:v>Marché</x:v>
      </x:c>
      <x:c r="K990" s="33" t="str">
        <x:v>Procédure adaptée</x:v>
      </x:c>
      <x:c r="L990" s="33" t="str">
        <x:v>Ferme</x:v>
      </x:c>
      <x:c r="M990" s="33" t="str">
        <x:v>(42) Loire</x:v>
      </x:c>
      <x:c r="N990" s="33" t="str">
        <x:v>Oui</x:v>
      </x:c>
      <x:c r="O990" s="33" t="str">
        <x:v>data.gouv.fr_aife</x:v>
      </x:c>
      <x:c r="P990" s="33" t="str">
        <x:v>2018150915795800</x:v>
      </x:c>
    </x:row>
    <x:row r="991">
      <x:c r="A991" s="33" t="str">
        <x:v>2018130014010400</x:v>
      </x:c>
      <x:c r="B991" s="33" t="str">
        <x:v>MINARM / SCA / PFC RBT - Plate-forme commissariat Rambouillet</x:v>
      </x:c>
      <x:c r="C991" s="33" t="str">
        <x:v>LJ IMPORT EXPORT</x:v>
      </x:c>
      <x:c r="D991" s="33" t="str">
        <x:v>FOURNITURE DE BAGUETTE DE FERMETURE</x:v>
      </x:c>
      <x:c r="E991" s="33" t="str">
        <x:v>Rations de campagne.</x:v>
      </x:c>
      <x:c r="F991" s="36" t="n">
        <x:v>228000</x:v>
      </x:c>
      <x:c r="G991" s="38" t="n">
        <x:v>43446</x:v>
      </x:c>
      <x:c r="H991" s="38" t="n">
        <x:v>43446</x:v>
      </x:c>
      <x:c r="I991" s="40" t="n">
        <x:v>48</x:v>
      </x:c>
      <x:c r="J991" s="33" t="str">
        <x:v>Marché subséquent</x:v>
      </x:c>
      <x:c r="K991" s="33" t="str"/>
      <x:c r="L991" s="33" t="str">
        <x:v>Révisable</x:v>
      </x:c>
      <x:c r="M991" s="33" t="str">
        <x:v>(49) Maine-et-Loire</x:v>
      </x:c>
      <x:c r="N991" s="33" t="str">
        <x:v>Oui</x:v>
      </x:c>
      <x:c r="O991" s="33" t="str">
        <x:v>data.gouv.fr_aife</x:v>
      </x:c>
      <x:c r="P991" s="33" t="str">
        <x:v>2018130014010400</x:v>
      </x:c>
    </x:row>
    <x:row r="992">
      <x:c r="A992" s="33" t="str">
        <x:v>2018150915786500</x:v>
      </x:c>
      <x:c r="B992" s="33" t="str">
        <x:v>MINARM / SSF / DSSF Brest - Direction du service de soutien de la flotte de Brest - DSSF Brest</x:v>
      </x:c>
      <x:c r="C992" s="33" t="str">
        <x:v>LOGNAV-CM</x:v>
      </x:c>
      <x:c r="D992" s="33" t="str">
        <x:v>Approvisionnement de batteries de marques diverses ou équivalents au profit des bâtiments de la Marine Nationale</x:v>
      </x:c>
      <x:c r="E992" s="33" t="str">
        <x:v>Pièces pour navires de guerre.</x:v>
      </x:c>
      <x:c r="F992" s="36" t="n">
        <x:v>2707</x:v>
      </x:c>
      <x:c r="G992" s="38" t="n">
        <x:v>43446</x:v>
      </x:c>
      <x:c r="H992" s="38" t="n">
        <x:v>43446</x:v>
      </x:c>
      <x:c r="I992" s="40" t="n">
        <x:v>5</x:v>
      </x:c>
      <x:c r="J992" s="33" t="str">
        <x:v>Marché</x:v>
      </x:c>
      <x:c r="K992" s="33" t="str">
        <x:v>Procédure adaptée</x:v>
      </x:c>
      <x:c r="L992" s="33" t="str">
        <x:v>Ferme</x:v>
      </x:c>
      <x:c r="M992" s="33" t="str">
        <x:v>(29) Finistère</x:v>
      </x:c>
      <x:c r="N992" s="33" t="str">
        <x:v>Oui</x:v>
      </x:c>
      <x:c r="O992" s="33" t="str">
        <x:v>data.gouv.fr_aife</x:v>
      </x:c>
      <x:c r="P992" s="33" t="str">
        <x:v>2018150915786500</x:v>
      </x:c>
    </x:row>
    <x:row r="993">
      <x:c r="A993" s="33" t="str">
        <x:v>2018130013928800</x:v>
      </x:c>
      <x:c r="B993" s="33" t="str">
        <x:v>MINARM / SCA / PFC Ouest - Plate-forme commissariat Ouest (Rennes)</x:v>
      </x:c>
      <x:c r="C993" s="33" t="str">
        <x:v>MAINE COLLECTE VALORISATION</x:v>
      </x:c>
      <x:c r="D993" s="33" t="str">
        <x:v>Mise à disposition de contenants, collecte, enlèvement et traitement des déchets sur les différents sites du Groupement de Soutien de la Base de Défense d'Angers Le Mans Saumur - mise à disposition de contenants, collecte et traitements de déchets</x:v>
      </x:c>
      <x:c r="E993" s="33" t="str">
        <x:v>Elimination et traitement des ordures.</x:v>
      </x:c>
      <x:c r="F993" s="36" t="n">
        <x:v>21405</x:v>
      </x:c>
      <x:c r="G993" s="38" t="n">
        <x:v>43446</x:v>
      </x:c>
      <x:c r="H993" s="38" t="n">
        <x:v>43446</x:v>
      </x:c>
      <x:c r="I993" s="40" t="n">
        <x:v>48</x:v>
      </x:c>
      <x:c r="J993" s="33" t="str">
        <x:v>Accord-cadre</x:v>
      </x:c>
      <x:c r="K993" s="33" t="str">
        <x:v>Appel d'offres ouvert</x:v>
      </x:c>
      <x:c r="L993" s="33" t="str">
        <x:v>Révisable</x:v>
      </x:c>
      <x:c r="M993" s="33" t="str">
        <x:v>(49) Maine-et-Loire</x:v>
      </x:c>
      <x:c r="N993" s="33" t="str">
        <x:v>Oui</x:v>
      </x:c>
      <x:c r="O993" s="33" t="str">
        <x:v>data.gouv.fr_aife</x:v>
      </x:c>
      <x:c r="P993" s="33" t="str">
        <x:v>2018130013928800</x:v>
      </x:c>
    </x:row>
    <x:row r="994">
      <x:c r="A994" s="33" t="str">
        <x:v>2018130014019100</x:v>
      </x:c>
      <x:c r="B994" s="33" t="str">
        <x:v>MINARM / SCA / PFC RBT - Plate-forme commissariat Rambouillet</x:v>
      </x:c>
      <x:c r="C994" s="33" t="str">
        <x:v>ORIFO</x:v>
      </x:c>
      <x:c r="D994" s="33" t="str">
        <x:v>FOURNITURE DE PAINS ET PAINS FOURRES</x:v>
      </x:c>
      <x:c r="E994" s="33" t="str">
        <x:v>Rations de campagne.</x:v>
      </x:c>
      <x:c r="F994" s="36" t="n">
        <x:v>2023200</x:v>
      </x:c>
      <x:c r="G994" s="38" t="n">
        <x:v>43446</x:v>
      </x:c>
      <x:c r="H994" s="38" t="n">
        <x:v>43446</x:v>
      </x:c>
      <x:c r="I994" s="40" t="n">
        <x:v>48</x:v>
      </x:c>
      <x:c r="J994" s="33" t="str">
        <x:v>Marché subséquent</x:v>
      </x:c>
      <x:c r="K994" s="33" t="str"/>
      <x:c r="L994" s="33" t="str">
        <x:v>Révisable</x:v>
      </x:c>
      <x:c r="M994" s="33" t="str">
        <x:v>(49) Maine-et-Loire</x:v>
      </x:c>
      <x:c r="N994" s="33" t="str">
        <x:v>Oui</x:v>
      </x:c>
      <x:c r="O994" s="33" t="str">
        <x:v>data.gouv.fr_aife</x:v>
      </x:c>
      <x:c r="P994" s="33" t="str">
        <x:v>2018130014019100</x:v>
      </x:c>
    </x:row>
    <x:row r="995">
      <x:c r="A995" s="33" t="str">
        <x:v>20182018F4101200</x:v>
      </x:c>
      <x:c r="B995" s="33" t="str">
        <x:v>MINARM / SCA / PFC RBT - Plate-forme commissariat Rambouillet</x:v>
      </x:c>
      <x:c r="C995" s="33" t="str">
        <x:v>EMINENCE</x:v>
      </x:c>
      <x:c r="D995" s="33" t="str">
        <x:v>Fourniture de chemises de combat F1.</x:v>
      </x:c>
      <x:c r="E995" s="33" t="str">
        <x:v>T-shirts et chemises.</x:v>
      </x:c>
      <x:c r="F995" s="36" t="n">
        <x:v>7096000</x:v>
      </x:c>
      <x:c r="G995" s="38" t="n">
        <x:v>43446</x:v>
      </x:c>
      <x:c r="H995" s="38" t="n">
        <x:v>43446</x:v>
      </x:c>
      <x:c r="I995" s="40" t="n">
        <x:v>48</x:v>
      </x:c>
      <x:c r="J995" s="33" t="str">
        <x:v>Accord-cadre</x:v>
      </x:c>
      <x:c r="K995" s="33" t="str">
        <x:v>Appel d'offres ouvert</x:v>
      </x:c>
      <x:c r="L995" s="33" t="str"/>
      <x:c r="M995" s="33" t="str">
        <x:v>(78) Yvelines</x:v>
      </x:c>
      <x:c r="N995" s="33" t="str">
        <x:v>Oui</x:v>
      </x:c>
      <x:c r="O995" s="33" t="str">
        <x:v>data.gouv.fr_aife</x:v>
      </x:c>
      <x:c r="P995" s="33" t="str">
        <x:v>20182018F4101200</x:v>
      </x:c>
    </x:row>
    <x:row r="996">
      <x:c r="A996" s="33" t="str">
        <x:v>2018150914773800</x:v>
      </x:c>
      <x:c r="B996" s="33" t="str">
        <x:v>MINARM / SEA / CEPIA - Marseille - Centre d'Expertise Pétrolière InterArmées</x:v>
      </x:c>
      <x:c r="C996" s="33" t="str">
        <x:v>AGILENT TECHNOLOGIES FRANCE</x:v>
      </x:c>
      <x:c r="D996" s="33" t="str">
        <x:v>Spectromètre d'émission à couplage inductif par plasma avec un passeur d'échantillons et accessoires</x:v>
      </x:c>
      <x:c r="E996" s="33" t="str">
        <x:v>Spectromètres.</x:v>
      </x:c>
      <x:c r="F996" s="36" t="n">
        <x:v>65741</x:v>
      </x:c>
      <x:c r="G996" s="38" t="n">
        <x:v>43446</x:v>
      </x:c>
      <x:c r="H996" s="38" t="n">
        <x:v>43446</x:v>
      </x:c>
      <x:c r="I996" s="40" t="n">
        <x:v>4</x:v>
      </x:c>
      <x:c r="J996" s="33" t="str">
        <x:v>Marché</x:v>
      </x:c>
      <x:c r="K996" s="33" t="str">
        <x:v>Procédure adaptée</x:v>
      </x:c>
      <x:c r="L996" s="33" t="str">
        <x:v>Ferme</x:v>
      </x:c>
      <x:c r="M996" s="33" t="str">
        <x:v>(13) Bouches-du-Rhône</x:v>
      </x:c>
      <x:c r="N996" s="33" t="str">
        <x:v>Oui</x:v>
      </x:c>
      <x:c r="O996" s="33" t="str">
        <x:v>data.gouv.fr_aife</x:v>
      </x:c>
      <x:c r="P996" s="33" t="str">
        <x:v>2018150914773800</x:v>
      </x:c>
    </x:row>
    <x:row r="997">
      <x:c r="A997" s="33" t="str">
        <x:v>2018130013929000</x:v>
      </x:c>
      <x:c r="B997" s="33" t="str">
        <x:v>MINARM / SGA / SID / ESID Lyon - Etablissement du service d'infrastructure de la défense de Lyon - ESID Lyon</x:v>
      </x:c>
      <x:c r="C997" s="33" t="str">
        <x:v>ACCE</x:v>
      </x:c>
      <x:c r="D997" s="33" t="str">
        <x:v>Exploitation et maintenance préventive et corrective des installations des équipements de CVC, et gestion technique centralisée (GTC) associés pour la BdD d'ISTRES-SALON DE PROVENCE - LOT 1 : Base aérienne 125 avec infrastructures neuves MRTT et site</x:v>
      </x:c>
      <x:c r="E997" s="33" t="str">
        <x:v>Mise en état d'exploitation d'installations de chauffage.</x:v>
      </x:c>
      <x:c r="F997" s="36" t="n">
        <x:v>5462400</x:v>
      </x:c>
      <x:c r="G997" s="38" t="n">
        <x:v>43446</x:v>
      </x:c>
      <x:c r="H997" s="38" t="n">
        <x:v>43446</x:v>
      </x:c>
      <x:c r="I997" s="40" t="n">
        <x:v>48</x:v>
      </x:c>
      <x:c r="J997" s="33" t="str">
        <x:v>Accord-cadre</x:v>
      </x:c>
      <x:c r="K997" s="33" t="str">
        <x:v>Appel d'offres ouvert</x:v>
      </x:c>
      <x:c r="L997" s="33" t="str">
        <x:v>Révisable</x:v>
      </x:c>
      <x:c r="M997" s="33" t="str">
        <x:v>(13) Bouches-du-Rhône</x:v>
      </x:c>
      <x:c r="N997" s="33" t="str">
        <x:v>Oui</x:v>
      </x:c>
      <x:c r="O997" s="33" t="str">
        <x:v>data.gouv.fr_aife</x:v>
      </x:c>
      <x:c r="P997" s="33" t="str">
        <x:v>2018130013929000</x:v>
      </x:c>
    </x:row>
    <x:row r="998">
      <x:c r="A998" s="33" t="str">
        <x:v>20182019F1200200</x:v>
      </x:c>
      <x:c r="B998" s="33" t="str">
        <x:v>MINARM / SCA / PFC RBT - Plate-forme commissariat Rambouillet</x:v>
      </x:c>
      <x:c r="C998" s="33" t="str">
        <x:v>LEO MINOR</x:v>
      </x:c>
      <x:c r="D998" s="33" t="str">
        <x:v>Fourniture de chemises de combat F1</x:v>
      </x:c>
      <x:c r="E998" s="33" t="str">
        <x:v>T-shirts et chemises.</x:v>
      </x:c>
      <x:c r="F998" s="36" t="n">
        <x:v>7096000</x:v>
      </x:c>
      <x:c r="G998" s="38" t="n">
        <x:v>43446</x:v>
      </x:c>
      <x:c r="H998" s="38" t="n">
        <x:v>43446</x:v>
      </x:c>
      <x:c r="I998" s="40" t="n">
        <x:v>48</x:v>
      </x:c>
      <x:c r="J998" s="33" t="str">
        <x:v>Accord-cadre</x:v>
      </x:c>
      <x:c r="K998" s="33" t="str">
        <x:v>Appel d'offres restreint</x:v>
      </x:c>
      <x:c r="L998" s="33" t="str"/>
      <x:c r="M998" s="33" t="str">
        <x:v>(78) Yvelines</x:v>
      </x:c>
      <x:c r="N998" s="33" t="str">
        <x:v>Oui</x:v>
      </x:c>
      <x:c r="O998" s="33" t="str">
        <x:v>data.gouv.fr_aife</x:v>
      </x:c>
      <x:c r="P998" s="33" t="str">
        <x:v>20182019F1200200</x:v>
      </x:c>
    </x:row>
    <x:row r="999">
      <x:c r="A999" s="33" t="str">
        <x:v>20182019F1200300</x:v>
      </x:c>
      <x:c r="B999" s="33" t="str">
        <x:v>MINARM / SCA / PFC RBT - Plate-forme commissariat Rambouillet</x:v>
      </x:c>
      <x:c r="C999" s="33" t="str">
        <x:v>biotex technologie</x:v>
      </x:c>
      <x:c r="D999" s="33" t="str">
        <x:v>Fourniture de chemises de combat F1</x:v>
      </x:c>
      <x:c r="E999" s="33" t="str">
        <x:v>T-shirts et chemises.</x:v>
      </x:c>
      <x:c r="F999" s="36" t="n">
        <x:v>7096000</x:v>
      </x:c>
      <x:c r="G999" s="38" t="n">
        <x:v>43446</x:v>
      </x:c>
      <x:c r="H999" s="38" t="n">
        <x:v>43446</x:v>
      </x:c>
      <x:c r="I999" s="40" t="n">
        <x:v>48</x:v>
      </x:c>
      <x:c r="J999" s="33" t="str">
        <x:v>Accord-cadre</x:v>
      </x:c>
      <x:c r="K999" s="33" t="str">
        <x:v>Appel d'offres restreint</x:v>
      </x:c>
      <x:c r="L999" s="33" t="str"/>
      <x:c r="M999" s="33" t="str">
        <x:v>(78) Yvelines</x:v>
      </x:c>
      <x:c r="N999" s="33" t="str">
        <x:v>Oui</x:v>
      </x:c>
      <x:c r="O999" s="33" t="str">
        <x:v>data.gouv.fr_aife</x:v>
      </x:c>
      <x:c r="P999" s="33" t="str">
        <x:v>20182019F1200300</x:v>
      </x:c>
    </x:row>
    <x:row r="1000">
      <x:c r="A1000" s="33" t="str">
        <x:v>2018150916434300</x:v>
      </x:c>
      <x:c r="B1000" s="33" t="str">
        <x:v>MINARM / SSF / DSSF Brest - Direction du service de soutien de la flotte de Brest - DSSF Brest</x:v>
      </x:c>
      <x:c r="C1000" s="33" t="str">
        <x:v>LOGNAV-CM</x:v>
      </x:c>
      <x:c r="D1000" s="33" t="str">
        <x:v>Approvisionnement de divers rechanges mécaniques de marques diverses ou équivalents au profit de bâtiments de la marine nationale.</x:v>
      </x:c>
      <x:c r="E1000" s="33" t="str">
        <x:v>Pièces de rechange pour coque et pièces mécaniques pour navires de guerre.</x:v>
      </x:c>
      <x:c r="F1000" s="36" t="n">
        <x:v>1300</x:v>
      </x:c>
      <x:c r="G1000" s="38" t="n">
        <x:v>43446</x:v>
      </x:c>
      <x:c r="H1000" s="38" t="n">
        <x:v>43446</x:v>
      </x:c>
      <x:c r="I1000" s="40" t="n">
        <x:v>1</x:v>
      </x:c>
      <x:c r="J1000" s="33" t="str">
        <x:v>Marché</x:v>
      </x:c>
      <x:c r="K1000" s="33" t="str">
        <x:v>Procédure adaptée</x:v>
      </x:c>
      <x:c r="L1000" s="33" t="str">
        <x:v>Ferme</x:v>
      </x:c>
      <x:c r="M1000" s="33" t="str">
        <x:v>(29) Finistère</x:v>
      </x:c>
      <x:c r="N1000" s="33" t="str">
        <x:v>Oui</x:v>
      </x:c>
      <x:c r="O1000" s="33" t="str">
        <x:v>data.gouv.fr_aife</x:v>
      </x:c>
      <x:c r="P1000" s="33" t="str">
        <x:v>2018150916434300</x:v>
      </x:c>
    </x:row>
    <x:row r="1001">
      <x:c r="A1001" s="33" t="str">
        <x:v>2018150916443000</x:v>
      </x:c>
      <x:c r="B1001" s="33" t="str">
        <x:v>MINARM / SSF / DSSF Brest - Direction du service de soutien de la flotte de Brest - DSSF Brest</x:v>
      </x:c>
      <x:c r="C1001" s="33" t="str">
        <x:v>LOGNAV-CM</x:v>
      </x:c>
      <x:c r="D1001" s="33" t="str">
        <x:v>Fourniture d’appareils de mesure et de contrôle de divers types et de diverses marques ou équivalents pour les unités de la marine nationale.</x:v>
      </x:c>
      <x:c r="E1001" s="33" t="str">
        <x:v>Pièces pour navires de guerre.</x:v>
      </x:c>
      <x:c r="F1001" s="36" t="n">
        <x:v>36755</x:v>
      </x:c>
      <x:c r="G1001" s="38" t="n">
        <x:v>43446</x:v>
      </x:c>
      <x:c r="H1001" s="38" t="n">
        <x:v>43446</x:v>
      </x:c>
      <x:c r="I1001" s="40" t="n">
        <x:v>2</x:v>
      </x:c>
      <x:c r="J1001" s="33" t="str">
        <x:v>Marché</x:v>
      </x:c>
      <x:c r="K1001" s="33" t="str">
        <x:v>Procédure adaptée</x:v>
      </x:c>
      <x:c r="L1001" s="33" t="str">
        <x:v>Ferme</x:v>
      </x:c>
      <x:c r="M1001" s="33" t="str">
        <x:v>(29) Finistère</x:v>
      </x:c>
      <x:c r="N1001" s="33" t="str">
        <x:v>Oui</x:v>
      </x:c>
      <x:c r="O1001" s="33" t="str">
        <x:v>data.gouv.fr_aife</x:v>
      </x:c>
      <x:c r="P1001" s="33" t="str">
        <x:v>2018150916443000</x:v>
      </x:c>
    </x:row>
  </x:sheetData>
  <x:conditionalFormatting sqref="F2:F1001">
    <x:cfRule type="dataBar" priority="1">
      <x:dataBar>
        <x:cfvo type="min"/>
        <x:cfvo type="max"/>
        <x:color rgb="FF156082"/>
      </x:dataBar>
      <x:extLst>
        <x:ext xmlns:x14="http://schemas.microsoft.com/office/spreadsheetml/2009/9/main" uri="{B025F937-C7B1-47D3-B67F-A62EFF666E3E}">
          <x14:id>{0B595459-DEEB-8992-3ED8-D3628E0D0672}</x14:id>
        </x:ext>
      </x:extLst>
    </x:cfRule>
  </x:conditionalFormatting>
  <x:pageMargins left="0.7" right="0.7" top="0.75" bottom="0.75" header="0.3" footer="0.3"/>
  <x:tableParts count="1">
    <x:tablePart xmlns:r="http://schemas.openxmlformats.org/officeDocument/2006/relationships" r:id="R8fab0d8013f64eb3"/>
  </x:tableParts>
  <x:extLst>
    <x:ext xmlns:x14="http://schemas.microsoft.com/office/spreadsheetml/2009/9/main" xmlns:xm="http://schemas.microsoft.com/office/excel/2006/main" uri="{78C0D931-6437-407d-A8EE-F0AAD7539E65}">
      <x14:conditionalFormattings>
        <x14:conditionalFormatting>
          <x14:cfRule type="dataBar" priority="1" id="{0B595459-DEEB-8992-3ED8-D3628E0D0672}">
            <x14:dataBar gradient="1">
              <x14:cfvo type="min"/>
              <x14:cfvo type="max"/>
              <x14:fillColor rgb="FF156082"/>
            </x14:dataBar>
          </x14:cfRule>
          <xm:sqref>F2:F1001</xm:sqref>
        </x14:conditionalFormatting>
      </x14:conditionalFormattings>
    </x:ext>
  </x:extLst>
</x:worksheet>
</file>